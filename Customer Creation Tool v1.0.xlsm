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en_skoroszyt" defaultThemeVersion="124226"/>
  <bookViews>
    <workbookView xWindow="0" yWindow="108" windowWidth="22980" windowHeight="9552"/>
  </bookViews>
  <sheets>
    <sheet name="Arkusz1" sheetId="1" r:id="rId1"/>
  </sheets>
  <externalReferences>
    <externalReference r:id="rId2"/>
  </externalReferences>
  <calcPr calcId="145621"/>
</workbook>
</file>

<file path=xl/calcChain.xml><?xml version="1.0" encoding="utf-8"?>
<calcChain xmlns="http://schemas.openxmlformats.org/spreadsheetml/2006/main">
  <c r="C30" i="1" l="1"/>
  <c r="D30" i="1"/>
  <c r="E30" i="1" l="1"/>
  <c r="L12" i="1" s="1"/>
  <c r="M12" i="1" s="1"/>
  <c r="N13" i="1" l="1"/>
  <c r="P13" i="1"/>
  <c r="O13" i="1"/>
  <c r="M13" i="1"/>
  <c r="C43" i="1"/>
  <c r="M14" i="1" l="1"/>
  <c r="C19" i="1"/>
  <c r="C48" i="1" l="1"/>
  <c r="E48" i="1" s="1"/>
  <c r="C67" i="1" l="1"/>
  <c r="D67" i="1" l="1"/>
  <c r="E67" i="1" s="1"/>
  <c r="C14" i="1"/>
  <c r="C45" i="1"/>
  <c r="D45" i="1" s="1"/>
  <c r="E45" i="1" s="1"/>
  <c r="I1" i="1" l="1"/>
  <c r="D14" i="1" s="1"/>
  <c r="I2" i="1"/>
  <c r="D19" i="1" s="1"/>
  <c r="E19" i="1" l="1"/>
  <c r="J1" i="1"/>
  <c r="C23" i="1"/>
  <c r="E23" i="1" s="1"/>
  <c r="C33" i="1"/>
  <c r="C16" i="1"/>
  <c r="E16" i="1" s="1"/>
  <c r="C55" i="1"/>
  <c r="E55" i="1" s="1"/>
  <c r="C65" i="1"/>
  <c r="C38" i="1"/>
  <c r="E38" i="1" s="1"/>
  <c r="C17" i="1"/>
  <c r="E17" i="1" s="1"/>
  <c r="C66" i="1"/>
  <c r="C71" i="1"/>
  <c r="E71" i="1" s="1"/>
  <c r="C11" i="1"/>
  <c r="E11" i="1" s="1"/>
  <c r="C24" i="1"/>
  <c r="E24" i="1" s="1"/>
  <c r="C40" i="1"/>
  <c r="E40" i="1" s="1"/>
  <c r="C56" i="1"/>
  <c r="E56" i="1" s="1"/>
  <c r="C64" i="1"/>
  <c r="C2" i="1"/>
  <c r="E2" i="1" s="1"/>
  <c r="C18" i="1"/>
  <c r="E18" i="1" s="1"/>
  <c r="C25" i="1"/>
  <c r="E25" i="1" s="1"/>
  <c r="C37" i="1"/>
  <c r="E37" i="1" s="1"/>
  <c r="C57" i="1"/>
  <c r="E57" i="1" s="1"/>
  <c r="C69" i="1"/>
  <c r="E69" i="1" s="1"/>
  <c r="C34" i="1"/>
  <c r="E34" i="1" s="1"/>
  <c r="C54" i="1"/>
  <c r="E54" i="1" s="1"/>
  <c r="C12" i="1"/>
  <c r="E12" i="1" s="1"/>
  <c r="C35" i="1"/>
  <c r="E35" i="1" s="1"/>
  <c r="C59" i="1"/>
  <c r="E59" i="1" s="1"/>
  <c r="C13" i="1"/>
  <c r="E14" i="1" s="1"/>
  <c r="C21" i="1"/>
  <c r="E21" i="1" s="1"/>
  <c r="C49" i="1"/>
  <c r="E49" i="1" s="1"/>
  <c r="C7" i="1"/>
  <c r="E7" i="1" s="1"/>
  <c r="C50" i="1"/>
  <c r="E50" i="1" s="1"/>
  <c r="C70" i="1"/>
  <c r="E70" i="1" s="1"/>
  <c r="C27" i="1"/>
  <c r="E27" i="1" s="1"/>
  <c r="C51" i="1"/>
  <c r="E51" i="1" s="1"/>
  <c r="C3" i="1"/>
  <c r="E3" i="1" s="1"/>
  <c r="C26" i="1"/>
  <c r="E26" i="1" s="1"/>
  <c r="C31" i="1"/>
  <c r="C10" i="1"/>
  <c r="E10" i="1" s="1"/>
  <c r="C47" i="1"/>
  <c r="E47" i="1" s="1"/>
  <c r="C6" i="1"/>
  <c r="E6" i="1" s="1"/>
  <c r="C58" i="1"/>
  <c r="E58" i="1" s="1"/>
  <c r="C39" i="1"/>
  <c r="E39" i="1" s="1"/>
  <c r="C8" i="1"/>
  <c r="E8" i="1" s="1"/>
  <c r="E43" i="1"/>
  <c r="C5" i="1"/>
  <c r="E5" i="1" s="1"/>
  <c r="C20" i="1"/>
  <c r="E20" i="1" s="1"/>
  <c r="C28" i="1"/>
  <c r="E28" i="1" s="1"/>
  <c r="C36" i="1"/>
  <c r="E36" i="1" s="1"/>
  <c r="C44" i="1"/>
  <c r="E44" i="1" s="1"/>
  <c r="C52" i="1"/>
  <c r="E52" i="1" s="1"/>
  <c r="C60" i="1"/>
  <c r="E60" i="1" s="1"/>
  <c r="C68" i="1"/>
  <c r="E68" i="1" s="1"/>
  <c r="C4" i="1"/>
  <c r="E4" i="1" s="1"/>
  <c r="C15" i="1"/>
  <c r="E15" i="1" s="1"/>
  <c r="C29" i="1"/>
  <c r="C41" i="1"/>
  <c r="E41" i="1" s="1"/>
  <c r="C53" i="1"/>
  <c r="E53" i="1" s="1"/>
  <c r="C61" i="1"/>
  <c r="E61" i="1" s="1"/>
  <c r="C22" i="1"/>
  <c r="E22" i="1" s="1"/>
  <c r="C46" i="1"/>
  <c r="E46" i="1" s="1"/>
  <c r="C63" i="1"/>
  <c r="E63" i="1" s="1"/>
  <c r="C72" i="1" l="1"/>
  <c r="C62" i="1"/>
  <c r="D64" i="1"/>
  <c r="E64" i="1" s="1"/>
  <c r="D65" i="1"/>
  <c r="E65" i="1" s="1"/>
  <c r="D66" i="1"/>
  <c r="E66" i="1" s="1"/>
  <c r="C32" i="1"/>
  <c r="E32" i="1" s="1"/>
  <c r="C42" i="1"/>
  <c r="E42" i="1" s="1"/>
  <c r="E62" i="1"/>
  <c r="E72" i="1"/>
  <c r="E33" i="1"/>
  <c r="E13" i="1"/>
  <c r="E31" i="1"/>
  <c r="E29" i="1"/>
</calcChain>
</file>

<file path=xl/comments1.xml><?xml version="1.0" encoding="utf-8"?>
<comments xmlns="http://schemas.openxmlformats.org/spreadsheetml/2006/main">
  <authors>
    <author>Marta Stepien</author>
  </authors>
  <commentList>
    <comment ref="G32" authorId="0">
      <text>
        <r>
          <rPr>
            <b/>
            <sz val="9"/>
            <color indexed="81"/>
            <rFont val="Tahoma"/>
            <family val="2"/>
          </rPr>
          <t>Marta Stepien:</t>
        </r>
        <r>
          <rPr>
            <sz val="9"/>
            <color indexed="81"/>
            <rFont val="Tahoma"/>
            <family val="2"/>
          </rPr>
          <t xml:space="preserve">
Country specific, mandatory for MDM Hub Processors, number of taxes depends on Country, up to 3 fields</t>
        </r>
      </text>
    </comment>
  </commentList>
</comments>
</file>

<file path=xl/sharedStrings.xml><?xml version="1.0" encoding="utf-8"?>
<sst xmlns="http://schemas.openxmlformats.org/spreadsheetml/2006/main" count="340" uniqueCount="214">
  <si>
    <t>Field</t>
  </si>
  <si>
    <t>Possible values</t>
  </si>
  <si>
    <t xml:space="preserve">Customer number </t>
  </si>
  <si>
    <t>FI Customer (New)</t>
  </si>
  <si>
    <t>Title</t>
  </si>
  <si>
    <t>Name1</t>
  </si>
  <si>
    <t>Name2</t>
  </si>
  <si>
    <t>Name3</t>
  </si>
  <si>
    <t>Name4</t>
  </si>
  <si>
    <t>Search Term1</t>
  </si>
  <si>
    <t>Street</t>
  </si>
  <si>
    <t>House number</t>
  </si>
  <si>
    <t>Postal code</t>
  </si>
  <si>
    <t>City</t>
  </si>
  <si>
    <t>Country</t>
  </si>
  <si>
    <t>Region/State</t>
  </si>
  <si>
    <t>Trasportation Zone</t>
  </si>
  <si>
    <t>0000000001</t>
  </si>
  <si>
    <t>PO Box</t>
  </si>
  <si>
    <t>PO Box - Postal code</t>
  </si>
  <si>
    <t>Other City</t>
  </si>
  <si>
    <t>Other Country</t>
  </si>
  <si>
    <t>Other Region</t>
  </si>
  <si>
    <t>Language</t>
  </si>
  <si>
    <t>Telephone</t>
  </si>
  <si>
    <t>Telephone Extension</t>
  </si>
  <si>
    <t>Fax Extension</t>
  </si>
  <si>
    <t>E-Mail</t>
  </si>
  <si>
    <t>Industry</t>
  </si>
  <si>
    <t>ID Type</t>
  </si>
  <si>
    <t>Identification number</t>
  </si>
  <si>
    <t xml:space="preserve">Tax Number </t>
  </si>
  <si>
    <t>Tax Numbers</t>
  </si>
  <si>
    <t>Bank key</t>
  </si>
  <si>
    <t>Bank account</t>
  </si>
  <si>
    <t>Account Group</t>
  </si>
  <si>
    <t>Company Code</t>
  </si>
  <si>
    <t>Reconciliation Account</t>
  </si>
  <si>
    <t>Dunning Procedure</t>
  </si>
  <si>
    <t>Dunning Clerk</t>
  </si>
  <si>
    <t>Accounting Clerk</t>
  </si>
  <si>
    <t>Bank Statement</t>
  </si>
  <si>
    <t>Institution Number</t>
  </si>
  <si>
    <t>Amount Insured</t>
  </si>
  <si>
    <t>Customer (New)</t>
  </si>
  <si>
    <t>Trading Partner</t>
  </si>
  <si>
    <t>NAICS</t>
  </si>
  <si>
    <t>Sales Org</t>
  </si>
  <si>
    <t>Disr. Channel</t>
  </si>
  <si>
    <t>Division</t>
  </si>
  <si>
    <t>00</t>
  </si>
  <si>
    <t>Sales District/Responsibility Code</t>
  </si>
  <si>
    <t>Customer Group</t>
  </si>
  <si>
    <t>Sales Office</t>
  </si>
  <si>
    <t>Sales Group</t>
  </si>
  <si>
    <t>Currency</t>
  </si>
  <si>
    <t>Price Group</t>
  </si>
  <si>
    <t>Customer Pricing Procedure</t>
  </si>
  <si>
    <t>Price List</t>
  </si>
  <si>
    <t>IN</t>
  </si>
  <si>
    <t>Customer Stats. Group</t>
  </si>
  <si>
    <t>Delivery Priority</t>
  </si>
  <si>
    <t>02-Normal</t>
  </si>
  <si>
    <t>Delivering Plant</t>
  </si>
  <si>
    <t>Shipping Condition</t>
  </si>
  <si>
    <t>max.Part.Delivery</t>
  </si>
  <si>
    <t>Incoterms</t>
  </si>
  <si>
    <t>Incoterms Location 1</t>
  </si>
  <si>
    <t>Account Assignment Group</t>
  </si>
  <si>
    <t>Tax clasification</t>
  </si>
  <si>
    <t>Rules</t>
  </si>
  <si>
    <t>Risk Class</t>
  </si>
  <si>
    <t>Check Rule</t>
  </si>
  <si>
    <t>Credit Group</t>
  </si>
  <si>
    <t>Credit Limit</t>
  </si>
  <si>
    <t>Credit Segment</t>
  </si>
  <si>
    <t>Collection Prof.</t>
  </si>
  <si>
    <t>Company Relationship</t>
  </si>
  <si>
    <t>Tax Number</t>
  </si>
  <si>
    <t>Payment Method</t>
  </si>
  <si>
    <t>PAN Number</t>
  </si>
  <si>
    <t>Tax Type 1</t>
  </si>
  <si>
    <t>Tax Type 2</t>
  </si>
  <si>
    <t>tax type 1</t>
  </si>
  <si>
    <t>tax type 2</t>
  </si>
  <si>
    <t/>
  </si>
  <si>
    <t>1</t>
  </si>
  <si>
    <t>02</t>
  </si>
  <si>
    <t>TCS Tax classification (India)</t>
  </si>
  <si>
    <t>2. Hit ' 1 Step'  Button</t>
  </si>
  <si>
    <t>PL</t>
  </si>
  <si>
    <t>Fax</t>
  </si>
  <si>
    <t>Terms of payment</t>
  </si>
  <si>
    <t>DE</t>
  </si>
  <si>
    <t>SE</t>
  </si>
  <si>
    <t>CN</t>
  </si>
  <si>
    <t>PL0</t>
  </si>
  <si>
    <t>SE0</t>
  </si>
  <si>
    <t>DE0</t>
  </si>
  <si>
    <t>IN3</t>
  </si>
  <si>
    <t>PL1</t>
  </si>
  <si>
    <t>B2B score dynamic approach</t>
  </si>
  <si>
    <t>03</t>
  </si>
  <si>
    <t>Rule for Existing Customers - Business Area</t>
  </si>
  <si>
    <t>Rule for Existing Customers - Private</t>
  </si>
  <si>
    <t>Rule for New Business Customers</t>
  </si>
  <si>
    <t>Rule for New Private Customers</t>
  </si>
  <si>
    <t>SAP</t>
  </si>
  <si>
    <t xml:space="preserve">4. Choose the system </t>
  </si>
  <si>
    <t xml:space="preserve"> Choose system from dropdown:</t>
  </si>
  <si>
    <t>01</t>
  </si>
  <si>
    <t>Street 2</t>
  </si>
  <si>
    <t>High Default Risk</t>
  </si>
  <si>
    <t>001 - Large Customer</t>
  </si>
  <si>
    <t>B2B-EXIST</t>
  </si>
  <si>
    <t>B2C-EXIST</t>
  </si>
  <si>
    <t>B2B-NEW</t>
  </si>
  <si>
    <t>B2C-NEW</t>
  </si>
  <si>
    <t>B2B-SCORE</t>
  </si>
  <si>
    <t>002 - Small/Medium Customer</t>
  </si>
  <si>
    <t>003 - Affiliated Company</t>
  </si>
  <si>
    <t>01- Default</t>
  </si>
  <si>
    <t>02- Credit Limit Check only (Statistical)</t>
  </si>
  <si>
    <t>03- Credit Limit Check only (Dynamic)</t>
  </si>
  <si>
    <t>Low Default Risk</t>
  </si>
  <si>
    <t>Medium Default Risk</t>
  </si>
  <si>
    <t>No Default Risk</t>
  </si>
  <si>
    <t>Z1</t>
  </si>
  <si>
    <t>A</t>
  </si>
  <si>
    <t>B</t>
  </si>
  <si>
    <t>C</t>
  </si>
  <si>
    <t>D</t>
  </si>
  <si>
    <t>SE2</t>
  </si>
  <si>
    <t>SE - Sweden</t>
  </si>
  <si>
    <t>DAP - Delivery at place</t>
  </si>
  <si>
    <t>019</t>
  </si>
  <si>
    <t>DAP</t>
  </si>
  <si>
    <t>2</t>
  </si>
  <si>
    <t>CN0</t>
  </si>
  <si>
    <t>CN5</t>
  </si>
  <si>
    <t>Long Name</t>
  </si>
  <si>
    <t>Ordinary Street</t>
  </si>
  <si>
    <t>IN - India</t>
  </si>
  <si>
    <t xml:space="preserve">IN/ 27 - Maharashtra         </t>
  </si>
  <si>
    <t>576 43</t>
  </si>
  <si>
    <t>Stockholm</t>
  </si>
  <si>
    <t>SE/ 019 - Vaestra Goetaland C.</t>
  </si>
  <si>
    <t>EN - English</t>
  </si>
  <si>
    <t>08767865</t>
  </si>
  <si>
    <t>40</t>
  </si>
  <si>
    <t>08765465</t>
  </si>
  <si>
    <t>21</t>
  </si>
  <si>
    <t>example@interia.pl</t>
  </si>
  <si>
    <t>ZR</t>
  </si>
  <si>
    <t>BUP001</t>
  </si>
  <si>
    <t>Tax Number (GSTN Number)</t>
  </si>
  <si>
    <t>27AAACA4074D1Z2</t>
  </si>
  <si>
    <t>Tax Number (PAN Number)</t>
  </si>
  <si>
    <t>SWIFT Code</t>
  </si>
  <si>
    <t>Payment Method: Incoming Payments</t>
  </si>
  <si>
    <t>Payment Method: Outgoing Payments</t>
  </si>
  <si>
    <t>choose text type</t>
  </si>
  <si>
    <t>Long Text</t>
  </si>
  <si>
    <t>INR - Indian Rupee</t>
  </si>
  <si>
    <t>03 - Final customers</t>
  </si>
  <si>
    <t>1 - 'A' Material</t>
  </si>
  <si>
    <t>Z2 - urgent</t>
  </si>
  <si>
    <t>02 - Foreign</t>
  </si>
  <si>
    <t>INDIA: 0 - GST registered</t>
  </si>
  <si>
    <t>2 - Shareholding</t>
  </si>
  <si>
    <t>27</t>
  </si>
  <si>
    <t>EN</t>
  </si>
  <si>
    <t>3011</t>
  </si>
  <si>
    <t>IN2</t>
  </si>
  <si>
    <t>INR</t>
  </si>
  <si>
    <t>Z2</t>
  </si>
  <si>
    <t>1. Copy-paste as values data from request here (col. G-H):</t>
  </si>
  <si>
    <t>3. Recheck the data (compare with request)</t>
  </si>
  <si>
    <t xml:space="preserve">PROF_XXX_1 - Collection Profile XXX1 CCXXX                               </t>
  </si>
  <si>
    <t>Z_XXXX Company India</t>
  </si>
  <si>
    <t xml:space="preserve">XXXP - Product Company  India        </t>
  </si>
  <si>
    <t xml:space="preserve">XXXD  - Company DC     </t>
  </si>
  <si>
    <t>Z1 - New DIVISION</t>
  </si>
  <si>
    <t>XXQ100</t>
  </si>
  <si>
    <t>XXP100</t>
  </si>
  <si>
    <t xml:space="preserve">XXXD </t>
  </si>
  <si>
    <t>XXXP</t>
  </si>
  <si>
    <t>Z_XXXX</t>
  </si>
  <si>
    <t>PROF_XXX_1</t>
  </si>
  <si>
    <t>ABBCA1224D</t>
  </si>
  <si>
    <t>DD - Distribution Center</t>
  </si>
  <si>
    <t>AS - Asphalt</t>
  </si>
  <si>
    <t>3011- Company India</t>
  </si>
  <si>
    <t xml:space="preserve">3012 - IN2  - Australia           </t>
  </si>
  <si>
    <t xml:space="preserve">Z007 - 7 days net                          </t>
  </si>
  <si>
    <t>Random Company</t>
  </si>
  <si>
    <t>RANDOMCOMP</t>
  </si>
  <si>
    <t>45674</t>
  </si>
  <si>
    <t>Bangalore</t>
  </si>
  <si>
    <t>C- NEFT Payment DB</t>
  </si>
  <si>
    <t>CCC2</t>
  </si>
  <si>
    <t>333110 - Soybean Farming</t>
  </si>
  <si>
    <t>Customer ID:</t>
  </si>
  <si>
    <t>5. Manually Log into correct SAP system and hit 'step 2' button</t>
  </si>
  <si>
    <t>63010000 - Trade Accounts Receivable</t>
  </si>
  <si>
    <t>63010000</t>
  </si>
  <si>
    <t>333110</t>
  </si>
  <si>
    <t>DD</t>
  </si>
  <si>
    <t>AS</t>
  </si>
  <si>
    <t>Z007</t>
  </si>
  <si>
    <t>IXXX - India</t>
  </si>
  <si>
    <t>IXXX</t>
  </si>
  <si>
    <t>AAACA4074D</t>
  </si>
  <si>
    <t>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</si>
</sst>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color theme="1"/>
      <name val="Calibri"/>
      <family val="2"/>
      <charset val="238"/>
      <scheme val="minor"/>
    </font>
    <font>
      <sz val="11"/>
      <color rgb="FF9C5700"/>
      <name val="Calibri"/>
      <family val="2"/>
      <scheme val="minor"/>
    </font>
    <font>
      <u/>
      <sz val="11"/>
      <color theme="10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1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00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</borders>
  <cellStyleXfs count="13">
    <xf numFmtId="0" fontId="0" fillId="0" borderId="0"/>
    <xf numFmtId="0" fontId="4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7" fillId="4" borderId="0" applyNumberFormat="0" applyBorder="0" applyAlignment="0" applyProtection="0"/>
    <xf numFmtId="0" fontId="9" fillId="0" borderId="1" applyNumberFormat="0" applyFill="0" applyAlignment="0" applyProtection="0"/>
    <xf numFmtId="0" fontId="11" fillId="0" borderId="0"/>
    <xf numFmtId="0" fontId="3" fillId="0" borderId="0"/>
    <xf numFmtId="0" fontId="3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15" fillId="4" borderId="0" applyNumberFormat="0" applyBorder="0" applyAlignment="0" applyProtection="0"/>
    <xf numFmtId="0" fontId="16" fillId="0" borderId="0" applyNumberFormat="0" applyFill="0" applyBorder="0" applyAlignment="0" applyProtection="0"/>
  </cellStyleXfs>
  <cellXfs count="103">
    <xf numFmtId="0" fontId="0" fillId="0" borderId="0" xfId="0"/>
    <xf numFmtId="0" fontId="8" fillId="5" borderId="4" xfId="1" applyFont="1" applyFill="1" applyBorder="1" applyAlignment="1">
      <alignment vertical="center"/>
    </xf>
    <xf numFmtId="0" fontId="8" fillId="5" borderId="3" xfId="0" applyFont="1" applyFill="1" applyBorder="1"/>
    <xf numFmtId="0" fontId="8" fillId="5" borderId="4" xfId="0" applyFont="1" applyFill="1" applyBorder="1" applyAlignment="1">
      <alignment vertical="center"/>
    </xf>
    <xf numFmtId="0" fontId="0" fillId="0" borderId="4" xfId="0" applyBorder="1"/>
    <xf numFmtId="0" fontId="0" fillId="0" borderId="6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16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8" xfId="0" applyFill="1" applyBorder="1" applyAlignment="1">
      <alignment vertical="center"/>
    </xf>
    <xf numFmtId="0" fontId="0" fillId="0" borderId="3" xfId="0" applyFill="1" applyBorder="1" applyAlignment="1">
      <alignment vertical="center" wrapText="1"/>
    </xf>
    <xf numFmtId="0" fontId="0" fillId="0" borderId="7" xfId="0" applyFill="1" applyBorder="1" applyAlignment="1">
      <alignment vertical="center"/>
    </xf>
    <xf numFmtId="0" fontId="0" fillId="0" borderId="16" xfId="0" applyFill="1" applyBorder="1" applyAlignment="1">
      <alignment vertical="center"/>
    </xf>
    <xf numFmtId="0" fontId="0" fillId="0" borderId="3" xfId="0" applyFill="1" applyBorder="1" applyAlignment="1">
      <alignment vertical="center"/>
    </xf>
    <xf numFmtId="0" fontId="0" fillId="0" borderId="10" xfId="0" applyFill="1" applyBorder="1" applyAlignment="1">
      <alignment vertical="center"/>
    </xf>
    <xf numFmtId="0" fontId="0" fillId="0" borderId="6" xfId="0" applyFill="1" applyBorder="1" applyAlignment="1">
      <alignment vertical="center"/>
    </xf>
    <xf numFmtId="0" fontId="0" fillId="0" borderId="15" xfId="0" applyFill="1" applyBorder="1" applyAlignment="1">
      <alignment vertical="center"/>
    </xf>
    <xf numFmtId="0" fontId="0" fillId="0" borderId="9" xfId="0" applyFill="1" applyBorder="1" applyAlignment="1">
      <alignment vertical="center"/>
    </xf>
    <xf numFmtId="0" fontId="0" fillId="0" borderId="3" xfId="0" applyFill="1" applyBorder="1" applyAlignment="1">
      <alignment horizontal="center" vertical="center" wrapText="1"/>
    </xf>
    <xf numFmtId="0" fontId="14" fillId="0" borderId="0" xfId="0" applyFont="1"/>
    <xf numFmtId="0" fontId="14" fillId="0" borderId="0" xfId="0" applyFont="1" applyAlignment="1">
      <alignment wrapText="1"/>
    </xf>
    <xf numFmtId="0" fontId="0" fillId="0" borderId="0" xfId="0" applyNumberFormat="1"/>
    <xf numFmtId="0" fontId="0" fillId="0" borderId="6" xfId="0" applyFill="1" applyBorder="1" applyAlignment="1">
      <alignment vertical="center" wrapText="1"/>
    </xf>
    <xf numFmtId="0" fontId="15" fillId="4" borderId="3" xfId="11" applyBorder="1" applyAlignment="1">
      <alignment horizontal="center"/>
    </xf>
    <xf numFmtId="0" fontId="10" fillId="0" borderId="3" xfId="10" applyFont="1" applyFill="1" applyBorder="1" applyAlignment="1">
      <alignment horizontal="center" vertical="center"/>
    </xf>
    <xf numFmtId="0" fontId="5" fillId="2" borderId="5" xfId="9" applyBorder="1" applyAlignment="1">
      <alignment vertical="center"/>
    </xf>
    <xf numFmtId="0" fontId="6" fillId="3" borderId="10" xfId="10" applyBorder="1" applyAlignment="1">
      <alignment vertical="center"/>
    </xf>
    <xf numFmtId="0" fontId="15" fillId="4" borderId="10" xfId="11" applyBorder="1" applyAlignment="1">
      <alignment vertical="center"/>
    </xf>
    <xf numFmtId="0" fontId="15" fillId="4" borderId="9" xfId="11" applyBorder="1" applyAlignment="1">
      <alignment vertical="center"/>
    </xf>
    <xf numFmtId="0" fontId="6" fillId="3" borderId="4" xfId="10" applyBorder="1" applyAlignment="1">
      <alignment vertical="center"/>
    </xf>
    <xf numFmtId="0" fontId="6" fillId="3" borderId="11" xfId="10" applyBorder="1" applyAlignment="1">
      <alignment vertical="center"/>
    </xf>
    <xf numFmtId="49" fontId="6" fillId="3" borderId="13" xfId="10" applyNumberFormat="1" applyBorder="1" applyAlignment="1">
      <alignment vertical="center"/>
    </xf>
    <xf numFmtId="0" fontId="6" fillId="3" borderId="13" xfId="10" applyBorder="1" applyAlignment="1">
      <alignment vertical="center"/>
    </xf>
    <xf numFmtId="0" fontId="5" fillId="2" borderId="13" xfId="9" applyBorder="1" applyAlignment="1">
      <alignment vertical="center"/>
    </xf>
    <xf numFmtId="0" fontId="15" fillId="4" borderId="13" xfId="11" applyBorder="1" applyAlignment="1">
      <alignment vertical="center"/>
    </xf>
    <xf numFmtId="0" fontId="0" fillId="3" borderId="5" xfId="5" applyFont="1" applyFill="1" applyBorder="1" applyAlignment="1">
      <alignment vertical="center"/>
    </xf>
    <xf numFmtId="49" fontId="5" fillId="2" borderId="13" xfId="9" applyNumberFormat="1" applyBorder="1" applyAlignment="1">
      <alignment vertical="center"/>
    </xf>
    <xf numFmtId="0" fontId="16" fillId="2" borderId="14" xfId="12" applyFill="1" applyBorder="1" applyAlignment="1">
      <alignment vertical="center"/>
    </xf>
    <xf numFmtId="0" fontId="15" fillId="4" borderId="4" xfId="11" applyBorder="1" applyAlignment="1">
      <alignment vertical="center"/>
    </xf>
    <xf numFmtId="0" fontId="5" fillId="2" borderId="17" xfId="9" applyBorder="1" applyAlignment="1">
      <alignment vertical="center"/>
    </xf>
    <xf numFmtId="0" fontId="5" fillId="2" borderId="20" xfId="9" applyBorder="1" applyAlignment="1">
      <alignment vertical="center"/>
    </xf>
    <xf numFmtId="0" fontId="15" fillId="4" borderId="19" xfId="11" applyBorder="1" applyAlignment="1">
      <alignment vertical="center" wrapText="1"/>
    </xf>
    <xf numFmtId="0" fontId="15" fillId="4" borderId="13" xfId="11" applyBorder="1" applyAlignment="1">
      <alignment vertical="center" wrapText="1"/>
    </xf>
    <xf numFmtId="0" fontId="15" fillId="4" borderId="20" xfId="11" applyBorder="1" applyAlignment="1">
      <alignment vertical="center" wrapText="1"/>
    </xf>
    <xf numFmtId="49" fontId="6" fillId="3" borderId="4" xfId="10" applyNumberFormat="1" applyBorder="1" applyAlignment="1">
      <alignment vertical="center"/>
    </xf>
    <xf numFmtId="0" fontId="5" fillId="2" borderId="4" xfId="9" applyBorder="1" applyAlignment="1">
      <alignment vertical="center"/>
    </xf>
    <xf numFmtId="0" fontId="6" fillId="3" borderId="17" xfId="10" applyBorder="1" applyAlignment="1">
      <alignment vertical="center"/>
    </xf>
    <xf numFmtId="0" fontId="5" fillId="2" borderId="20" xfId="9" applyNumberFormat="1" applyBorder="1" applyAlignment="1">
      <alignment vertical="center"/>
    </xf>
    <xf numFmtId="0" fontId="2" fillId="4" borderId="17" xfId="11" applyFont="1" applyBorder="1" applyAlignment="1">
      <alignment vertical="center"/>
    </xf>
    <xf numFmtId="0" fontId="2" fillId="4" borderId="20" xfId="11" applyFont="1" applyBorder="1" applyAlignment="1">
      <alignment vertical="center"/>
    </xf>
    <xf numFmtId="0" fontId="5" fillId="2" borderId="17" xfId="9" applyNumberFormat="1" applyBorder="1" applyAlignment="1">
      <alignment vertical="center"/>
    </xf>
    <xf numFmtId="0" fontId="5" fillId="2" borderId="3" xfId="9" applyNumberFormat="1" applyBorder="1" applyAlignment="1">
      <alignment vertical="center"/>
    </xf>
    <xf numFmtId="0" fontId="10" fillId="0" borderId="2" xfId="10" applyFont="1" applyFill="1" applyBorder="1" applyAlignment="1">
      <alignment horizontal="center" vertical="center"/>
    </xf>
    <xf numFmtId="0" fontId="5" fillId="2" borderId="14" xfId="9" applyBorder="1" applyAlignment="1">
      <alignment vertical="center"/>
    </xf>
    <xf numFmtId="0" fontId="6" fillId="3" borderId="11" xfId="10" quotePrefix="1" applyBorder="1" applyAlignment="1">
      <alignment vertical="center"/>
    </xf>
    <xf numFmtId="0" fontId="5" fillId="8" borderId="5" xfId="9" applyFill="1" applyBorder="1" applyAlignment="1">
      <alignment vertical="center"/>
    </xf>
    <xf numFmtId="0" fontId="5" fillId="2" borderId="13" xfId="9" applyBorder="1" applyAlignment="1" applyProtection="1">
      <alignment horizontal="left" vertical="center"/>
      <protection locked="0"/>
    </xf>
    <xf numFmtId="0" fontId="6" fillId="3" borderId="14" xfId="10" applyBorder="1" applyAlignment="1">
      <alignment vertical="center"/>
    </xf>
    <xf numFmtId="0" fontId="6" fillId="3" borderId="13" xfId="10" applyBorder="1" applyAlignment="1">
      <alignment horizontal="left" vertical="center"/>
    </xf>
    <xf numFmtId="0" fontId="5" fillId="2" borderId="11" xfId="9" applyBorder="1" applyAlignment="1">
      <alignment vertical="center"/>
    </xf>
    <xf numFmtId="0" fontId="6" fillId="3" borderId="16" xfId="10" applyBorder="1" applyAlignment="1">
      <alignment vertical="center"/>
    </xf>
    <xf numFmtId="0" fontId="6" fillId="3" borderId="18" xfId="10" applyBorder="1" applyAlignment="1">
      <alignment vertical="center"/>
    </xf>
    <xf numFmtId="0" fontId="6" fillId="3" borderId="3" xfId="10" applyBorder="1" applyAlignment="1">
      <alignment vertical="center"/>
    </xf>
    <xf numFmtId="0" fontId="6" fillId="3" borderId="19" xfId="10" applyBorder="1" applyAlignment="1">
      <alignment vertical="center"/>
    </xf>
    <xf numFmtId="0" fontId="6" fillId="3" borderId="13" xfId="10" applyBorder="1" applyAlignment="1">
      <alignment horizontal="left"/>
    </xf>
    <xf numFmtId="0" fontId="6" fillId="3" borderId="11" xfId="10" applyBorder="1" applyAlignment="1">
      <alignment horizontal="left" vertical="center"/>
    </xf>
    <xf numFmtId="0" fontId="6" fillId="3" borderId="6" xfId="10" applyBorder="1" applyAlignment="1">
      <alignment vertical="center"/>
    </xf>
    <xf numFmtId="0" fontId="15" fillId="4" borderId="16" xfId="11" applyBorder="1" applyAlignment="1">
      <alignment vertical="center"/>
    </xf>
    <xf numFmtId="0" fontId="6" fillId="3" borderId="3" xfId="10" applyBorder="1" applyAlignment="1">
      <alignment horizontal="left" vertical="center" wrapText="1"/>
    </xf>
    <xf numFmtId="0" fontId="8" fillId="9" borderId="0" xfId="0" applyFont="1" applyFill="1"/>
    <xf numFmtId="0" fontId="9" fillId="0" borderId="0" xfId="0" applyFont="1"/>
    <xf numFmtId="0" fontId="8" fillId="5" borderId="6" xfId="1" applyFont="1" applyFill="1" applyBorder="1"/>
    <xf numFmtId="0" fontId="8" fillId="5" borderId="5" xfId="1" applyFont="1" applyFill="1" applyBorder="1" applyAlignment="1">
      <alignment vertical="center"/>
    </xf>
    <xf numFmtId="0" fontId="4" fillId="0" borderId="23" xfId="1" applyBorder="1"/>
    <xf numFmtId="0" fontId="7" fillId="4" borderId="24" xfId="4" applyBorder="1" applyAlignment="1">
      <alignment horizontal="left"/>
    </xf>
    <xf numFmtId="0" fontId="4" fillId="0" borderId="25" xfId="1" applyBorder="1" applyAlignment="1">
      <alignment vertical="center"/>
    </xf>
    <xf numFmtId="0" fontId="4" fillId="0" borderId="26" xfId="1" applyBorder="1" applyAlignment="1">
      <alignment vertical="center"/>
    </xf>
    <xf numFmtId="0" fontId="4" fillId="0" borderId="26" xfId="1" applyFill="1" applyBorder="1" applyAlignment="1">
      <alignment vertical="center"/>
    </xf>
    <xf numFmtId="0" fontId="2" fillId="0" borderId="26" xfId="1" applyFont="1" applyBorder="1" applyAlignment="1">
      <alignment vertical="center"/>
    </xf>
    <xf numFmtId="0" fontId="4" fillId="0" borderId="27" xfId="1" applyFill="1" applyBorder="1" applyAlignment="1">
      <alignment vertical="center"/>
    </xf>
    <xf numFmtId="0" fontId="4" fillId="0" borderId="27" xfId="1" applyBorder="1" applyAlignment="1">
      <alignment vertical="center"/>
    </xf>
    <xf numFmtId="0" fontId="4" fillId="0" borderId="25" xfId="1" applyFill="1" applyBorder="1" applyAlignment="1">
      <alignment horizontal="center" vertical="center" wrapText="1"/>
    </xf>
    <xf numFmtId="0" fontId="4" fillId="0" borderId="27" xfId="1" applyFill="1" applyBorder="1" applyAlignment="1">
      <alignment horizontal="center" vertical="center" wrapText="1"/>
    </xf>
    <xf numFmtId="0" fontId="0" fillId="0" borderId="13" xfId="0" applyBorder="1" applyAlignment="1">
      <alignment vertical="center"/>
    </xf>
    <xf numFmtId="0" fontId="15" fillId="4" borderId="11" xfId="11" applyBorder="1" applyAlignment="1">
      <alignment vertical="center"/>
    </xf>
    <xf numFmtId="0" fontId="1" fillId="0" borderId="26" xfId="1" applyFont="1" applyBorder="1" applyAlignment="1">
      <alignment vertical="center"/>
    </xf>
    <xf numFmtId="0" fontId="0" fillId="10" borderId="0" xfId="0" applyFill="1"/>
    <xf numFmtId="0" fontId="0" fillId="7" borderId="0" xfId="0" applyFill="1"/>
    <xf numFmtId="0" fontId="4" fillId="0" borderId="25" xfId="1" applyFill="1" applyBorder="1" applyAlignment="1">
      <alignment vertical="center"/>
    </xf>
    <xf numFmtId="0" fontId="4" fillId="0" borderId="21" xfId="1" applyFill="1" applyBorder="1" applyAlignment="1">
      <alignment vertical="center"/>
    </xf>
    <xf numFmtId="0" fontId="0" fillId="10" borderId="0" xfId="0" applyNumberFormat="1" applyFill="1"/>
    <xf numFmtId="49" fontId="0" fillId="10" borderId="0" xfId="0" applyNumberFormat="1" applyFill="1"/>
    <xf numFmtId="0" fontId="0" fillId="10" borderId="0" xfId="0" quotePrefix="1" applyFill="1"/>
    <xf numFmtId="0" fontId="0" fillId="6" borderId="0" xfId="0" applyFill="1"/>
    <xf numFmtId="0" fontId="5" fillId="2" borderId="20" xfId="9" quotePrefix="1" applyNumberFormat="1" applyBorder="1" applyAlignment="1">
      <alignment vertical="center"/>
    </xf>
    <xf numFmtId="0" fontId="4" fillId="0" borderId="26" xfId="1" applyFill="1" applyBorder="1" applyAlignment="1">
      <alignment vertical="center" wrapText="1"/>
    </xf>
    <xf numFmtId="0" fontId="0" fillId="0" borderId="0" xfId="0" applyAlignment="1">
      <alignment horizontal="center"/>
    </xf>
    <xf numFmtId="0" fontId="0" fillId="10" borderId="22" xfId="0" applyFill="1" applyBorder="1" applyAlignment="1">
      <alignment horizontal="center"/>
    </xf>
  </cellXfs>
  <cellStyles count="13">
    <cellStyle name="Dobre" xfId="9" builtinId="26"/>
    <cellStyle name="Dobre 2" xfId="2"/>
    <cellStyle name="Hiperłącze" xfId="12" builtinId="8"/>
    <cellStyle name="Neutralne" xfId="11" builtinId="28"/>
    <cellStyle name="Neutralne 2" xfId="4"/>
    <cellStyle name="Normal 2" xfId="6"/>
    <cellStyle name="Normal 2 2" xfId="8"/>
    <cellStyle name="Normal 3" xfId="7"/>
    <cellStyle name="Normalny" xfId="0" builtinId="0"/>
    <cellStyle name="Normalny 2" xfId="1"/>
    <cellStyle name="Total 3" xfId="5"/>
    <cellStyle name="Złe" xfId="10" builtinId="27"/>
    <cellStyle name="Złe 2" xfId="3"/>
  </cellStyles>
  <dxfs count="18"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C6EFCE"/>
        </patternFill>
      </fill>
    </dxf>
    <dxf>
      <fill>
        <patternFill>
          <bgColor rgb="FFC6EFCE"/>
        </patternFill>
      </fill>
    </dxf>
    <dxf>
      <fill>
        <patternFill>
          <bgColor rgb="FFC6EFCE"/>
        </patternFill>
      </fill>
    </dxf>
    <dxf>
      <fill>
        <patternFill>
          <bgColor rgb="FFC6EFCE"/>
        </patternFill>
      </fill>
    </dxf>
    <dxf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1120140</xdr:colOff>
          <xdr:row>7</xdr:row>
          <xdr:rowOff>60960</xdr:rowOff>
        </xdr:from>
        <xdr:to>
          <xdr:col>5</xdr:col>
          <xdr:colOff>1958340</xdr:colOff>
          <xdr:row>9</xdr:row>
          <xdr:rowOff>15240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STEP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1127760</xdr:colOff>
          <xdr:row>10</xdr:row>
          <xdr:rowOff>0</xdr:rowOff>
        </xdr:from>
        <xdr:to>
          <xdr:col>5</xdr:col>
          <xdr:colOff>1950720</xdr:colOff>
          <xdr:row>11</xdr:row>
          <xdr:rowOff>144780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STEP 2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.kaluzniak/Desktop/templatka%20do%20nagrania%20makro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"/>
      <sheetName val="Create"/>
      <sheetName val="Change"/>
      <sheetName val="Fields explanation"/>
      <sheetName val="Dropdowns"/>
      <sheetName val="additional sheet - formula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</sheetDataSet>
  </externalBook>
</externalLink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example@interia.pl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1"/>
  <dimension ref="A1:Y86"/>
  <sheetViews>
    <sheetView tabSelected="1" topLeftCell="A37" zoomScale="90" zoomScaleNormal="90" workbookViewId="0">
      <selection activeCell="D76" sqref="D76"/>
    </sheetView>
  </sheetViews>
  <sheetFormatPr defaultRowHeight="14.4" x14ac:dyDescent="0.3"/>
  <cols>
    <col min="1" max="1" width="27.44140625" customWidth="1"/>
    <col min="2" max="2" width="21.21875" customWidth="1"/>
    <col min="3" max="3" width="32.109375" customWidth="1"/>
    <col min="4" max="4" width="11.21875" customWidth="1"/>
    <col min="5" max="5" width="8.88671875" customWidth="1"/>
    <col min="6" max="6" width="38.6640625" customWidth="1"/>
    <col min="7" max="7" width="27.77734375" customWidth="1"/>
    <col min="8" max="8" width="51.5546875" bestFit="1" customWidth="1"/>
    <col min="9" max="11" width="8.88671875" hidden="1" customWidth="1"/>
    <col min="12" max="12" width="13.21875" hidden="1" customWidth="1"/>
    <col min="13" max="15" width="8.88671875" hidden="1" customWidth="1"/>
    <col min="16" max="16" width="37.21875" hidden="1" customWidth="1"/>
    <col min="17" max="17" width="21.44140625" hidden="1" customWidth="1"/>
    <col min="18" max="18" width="10.5546875" hidden="1" customWidth="1"/>
    <col min="19" max="19" width="21.21875" hidden="1" customWidth="1"/>
    <col min="20" max="20" width="11.88671875" hidden="1" customWidth="1"/>
    <col min="21" max="21" width="8.77734375" hidden="1" customWidth="1"/>
    <col min="22" max="22" width="48.5546875" hidden="1" customWidth="1"/>
    <col min="23" max="23" width="8.88671875" hidden="1" customWidth="1"/>
    <col min="24" max="24" width="28" hidden="1" customWidth="1"/>
    <col min="25" max="25" width="8.88671875" hidden="1" customWidth="1"/>
    <col min="26" max="26" width="0" hidden="1" customWidth="1"/>
  </cols>
  <sheetData>
    <row r="1" spans="1:25" ht="12" customHeight="1" thickBot="1" x14ac:dyDescent="0.4">
      <c r="A1" s="76" t="s">
        <v>0</v>
      </c>
      <c r="B1" s="77" t="s">
        <v>1</v>
      </c>
      <c r="E1" s="1" t="s">
        <v>1</v>
      </c>
      <c r="F1" s="74" t="s">
        <v>109</v>
      </c>
      <c r="G1" s="2" t="s">
        <v>0</v>
      </c>
      <c r="H1" s="3" t="s">
        <v>1</v>
      </c>
      <c r="I1" s="91" t="e">
        <f>SEARCH("-",C14)</f>
        <v>#VALUE!</v>
      </c>
      <c r="J1" t="e">
        <f>SEARCH("-",B42)</f>
        <v>#VALUE!</v>
      </c>
      <c r="L1" t="s">
        <v>83</v>
      </c>
      <c r="N1" t="s">
        <v>84</v>
      </c>
      <c r="P1" s="91" t="s">
        <v>70</v>
      </c>
      <c r="Q1" s="91" t="s">
        <v>107</v>
      </c>
      <c r="S1" s="91" t="s">
        <v>71</v>
      </c>
      <c r="T1" s="98" t="s">
        <v>107</v>
      </c>
      <c r="V1" s="91" t="s">
        <v>72</v>
      </c>
      <c r="W1" s="91" t="s">
        <v>107</v>
      </c>
      <c r="X1" s="91" t="s">
        <v>73</v>
      </c>
      <c r="Y1" s="91" t="s">
        <v>107</v>
      </c>
    </row>
    <row r="2" spans="1:25" ht="12" customHeight="1" thickBot="1" x14ac:dyDescent="0.4">
      <c r="A2" s="78" t="s">
        <v>2</v>
      </c>
      <c r="B2" s="79" t="s">
        <v>85</v>
      </c>
      <c r="C2" t="str">
        <f>B2</f>
        <v/>
      </c>
      <c r="E2" t="str">
        <f>IF(C2=0,"",C2)</f>
        <v/>
      </c>
      <c r="F2" s="75" t="s">
        <v>183</v>
      </c>
      <c r="G2" s="4" t="s">
        <v>2</v>
      </c>
      <c r="H2" s="28"/>
      <c r="I2" s="92" t="e">
        <f>SEARCH("-",C19)</f>
        <v>#VALUE!</v>
      </c>
      <c r="L2" t="s">
        <v>90</v>
      </c>
      <c r="M2" t="s">
        <v>96</v>
      </c>
      <c r="N2" t="s">
        <v>90</v>
      </c>
      <c r="O2" t="s">
        <v>100</v>
      </c>
      <c r="P2" s="95" t="s">
        <v>103</v>
      </c>
      <c r="Q2" s="95" t="s">
        <v>114</v>
      </c>
      <c r="S2" s="96" t="s">
        <v>112</v>
      </c>
      <c r="T2" t="s">
        <v>131</v>
      </c>
      <c r="V2" s="97" t="s">
        <v>121</v>
      </c>
      <c r="W2" s="97" t="s">
        <v>110</v>
      </c>
      <c r="X2" s="95" t="s">
        <v>113</v>
      </c>
      <c r="Y2" s="91">
        <v>1</v>
      </c>
    </row>
    <row r="3" spans="1:25" ht="26.4" customHeight="1" thickTop="1" thickBot="1" x14ac:dyDescent="0.4">
      <c r="A3" s="80" t="s">
        <v>5</v>
      </c>
      <c r="B3" s="79" t="s">
        <v>195</v>
      </c>
      <c r="C3" t="str">
        <f t="shared" ref="C3:C12" si="0">B3</f>
        <v>Random Company</v>
      </c>
      <c r="E3" t="str">
        <f t="shared" ref="E3:E61" si="1">IF(C3=0,"",C3)</f>
        <v>Random Company</v>
      </c>
      <c r="F3" s="24" t="s">
        <v>176</v>
      </c>
      <c r="G3" s="5"/>
      <c r="H3" s="29" t="s">
        <v>3</v>
      </c>
      <c r="L3" t="s">
        <v>93</v>
      </c>
      <c r="M3" t="s">
        <v>98</v>
      </c>
      <c r="N3" t="s">
        <v>93</v>
      </c>
      <c r="P3" s="95" t="s">
        <v>104</v>
      </c>
      <c r="Q3" s="95" t="s">
        <v>115</v>
      </c>
      <c r="S3" s="96" t="s">
        <v>124</v>
      </c>
      <c r="T3" t="s">
        <v>129</v>
      </c>
      <c r="V3" s="97" t="s">
        <v>122</v>
      </c>
      <c r="W3" s="97" t="s">
        <v>87</v>
      </c>
      <c r="X3" s="95" t="s">
        <v>119</v>
      </c>
      <c r="Y3" s="91">
        <v>2</v>
      </c>
    </row>
    <row r="4" spans="1:25" ht="12" customHeight="1" thickBot="1" x14ac:dyDescent="0.4">
      <c r="A4" s="81" t="s">
        <v>6</v>
      </c>
      <c r="B4" s="79" t="s">
        <v>140</v>
      </c>
      <c r="C4" t="str">
        <f t="shared" si="0"/>
        <v>Long Name</v>
      </c>
      <c r="E4" t="str">
        <f t="shared" si="1"/>
        <v>Long Name</v>
      </c>
      <c r="F4" s="24" t="s">
        <v>89</v>
      </c>
      <c r="G4" s="5" t="s">
        <v>4</v>
      </c>
      <c r="H4" s="30"/>
      <c r="J4" t="s">
        <v>183</v>
      </c>
      <c r="L4" t="s">
        <v>94</v>
      </c>
      <c r="M4" t="s">
        <v>97</v>
      </c>
      <c r="N4" t="s">
        <v>94</v>
      </c>
      <c r="O4" t="s">
        <v>132</v>
      </c>
      <c r="P4" s="91" t="s">
        <v>105</v>
      </c>
      <c r="Q4" s="95" t="s">
        <v>116</v>
      </c>
      <c r="S4" s="91" t="s">
        <v>125</v>
      </c>
      <c r="T4" t="s">
        <v>130</v>
      </c>
      <c r="V4" s="97" t="s">
        <v>123</v>
      </c>
      <c r="W4" s="97" t="s">
        <v>102</v>
      </c>
      <c r="X4" s="91" t="s">
        <v>120</v>
      </c>
      <c r="Y4" s="91">
        <v>3</v>
      </c>
    </row>
    <row r="5" spans="1:25" ht="12" customHeight="1" thickBot="1" x14ac:dyDescent="0.35">
      <c r="A5" s="81" t="s">
        <v>7</v>
      </c>
      <c r="B5" s="79" t="s">
        <v>85</v>
      </c>
      <c r="C5" t="str">
        <f t="shared" si="0"/>
        <v/>
      </c>
      <c r="E5" t="str">
        <f t="shared" si="1"/>
        <v/>
      </c>
      <c r="F5" s="25" t="s">
        <v>177</v>
      </c>
      <c r="G5" s="6" t="s">
        <v>5</v>
      </c>
      <c r="H5" s="31" t="s">
        <v>195</v>
      </c>
      <c r="J5" t="s">
        <v>184</v>
      </c>
      <c r="L5" t="s">
        <v>59</v>
      </c>
      <c r="M5" t="s">
        <v>99</v>
      </c>
      <c r="N5" t="s">
        <v>59</v>
      </c>
      <c r="P5" s="91" t="s">
        <v>106</v>
      </c>
      <c r="Q5" s="95" t="s">
        <v>117</v>
      </c>
      <c r="S5" s="91" t="s">
        <v>126</v>
      </c>
      <c r="T5" t="s">
        <v>128</v>
      </c>
      <c r="V5" s="91" t="s">
        <v>182</v>
      </c>
      <c r="W5" s="91" t="s">
        <v>127</v>
      </c>
    </row>
    <row r="6" spans="1:25" ht="16.5" customHeight="1" thickBot="1" x14ac:dyDescent="0.4">
      <c r="A6" s="81" t="s">
        <v>8</v>
      </c>
      <c r="B6" s="79" t="s">
        <v>85</v>
      </c>
      <c r="C6" t="str">
        <f t="shared" si="0"/>
        <v/>
      </c>
      <c r="E6" t="str">
        <f t="shared" si="1"/>
        <v/>
      </c>
      <c r="F6" s="25" t="s">
        <v>108</v>
      </c>
      <c r="G6" s="7" t="s">
        <v>6</v>
      </c>
      <c r="H6" s="32" t="s">
        <v>140</v>
      </c>
      <c r="I6" s="91">
        <v>9</v>
      </c>
      <c r="J6">
        <v>3</v>
      </c>
      <c r="L6" t="s">
        <v>95</v>
      </c>
      <c r="M6" t="s">
        <v>138</v>
      </c>
      <c r="N6" t="s">
        <v>95</v>
      </c>
      <c r="O6" t="s">
        <v>139</v>
      </c>
      <c r="P6" s="91" t="s">
        <v>101</v>
      </c>
      <c r="Q6" s="95" t="s">
        <v>118</v>
      </c>
    </row>
    <row r="7" spans="1:25" ht="12" customHeight="1" thickBot="1" x14ac:dyDescent="0.4">
      <c r="A7" s="81" t="s">
        <v>9</v>
      </c>
      <c r="B7" s="79" t="s">
        <v>196</v>
      </c>
      <c r="C7" t="str">
        <f t="shared" si="0"/>
        <v>RANDOMCOMP</v>
      </c>
      <c r="E7" t="str">
        <f t="shared" si="1"/>
        <v>RANDOMCOMP</v>
      </c>
      <c r="F7" s="24" t="s">
        <v>203</v>
      </c>
      <c r="G7" s="7" t="s">
        <v>7</v>
      </c>
      <c r="H7" s="32"/>
      <c r="I7">
        <v>8</v>
      </c>
      <c r="J7">
        <v>2</v>
      </c>
    </row>
    <row r="8" spans="1:25" ht="12" customHeight="1" thickBot="1" x14ac:dyDescent="0.4">
      <c r="A8" s="81" t="s">
        <v>10</v>
      </c>
      <c r="B8" s="79" t="s">
        <v>141</v>
      </c>
      <c r="C8" t="str">
        <f t="shared" si="0"/>
        <v>Ordinary Street</v>
      </c>
      <c r="E8" t="str">
        <f t="shared" si="1"/>
        <v>Ordinary Street</v>
      </c>
      <c r="G8" s="8" t="s">
        <v>8</v>
      </c>
      <c r="H8" s="33"/>
      <c r="I8">
        <v>7</v>
      </c>
      <c r="J8">
        <v>1</v>
      </c>
    </row>
    <row r="9" spans="1:25" ht="12" customHeight="1" thickBot="1" x14ac:dyDescent="0.4">
      <c r="A9" s="90" t="s">
        <v>111</v>
      </c>
      <c r="B9" s="79"/>
      <c r="G9" s="8" t="s">
        <v>9</v>
      </c>
      <c r="H9" s="89" t="s">
        <v>196</v>
      </c>
    </row>
    <row r="10" spans="1:25" ht="12" customHeight="1" thickBot="1" x14ac:dyDescent="0.4">
      <c r="A10" s="81" t="s">
        <v>11</v>
      </c>
      <c r="B10" s="79">
        <v>65</v>
      </c>
      <c r="C10">
        <f t="shared" si="0"/>
        <v>65</v>
      </c>
      <c r="E10">
        <f t="shared" si="1"/>
        <v>65</v>
      </c>
      <c r="G10" s="9" t="s">
        <v>10</v>
      </c>
      <c r="H10" s="34" t="s">
        <v>141</v>
      </c>
    </row>
    <row r="11" spans="1:25" ht="12" customHeight="1" thickBot="1" x14ac:dyDescent="0.4">
      <c r="A11" s="81" t="s">
        <v>12</v>
      </c>
      <c r="B11" s="79" t="s">
        <v>197</v>
      </c>
      <c r="C11" t="str">
        <f t="shared" si="0"/>
        <v>45674</v>
      </c>
      <c r="E11" t="str">
        <f t="shared" si="1"/>
        <v>45674</v>
      </c>
      <c r="G11" s="8" t="s">
        <v>11</v>
      </c>
      <c r="H11" s="35">
        <v>65</v>
      </c>
    </row>
    <row r="12" spans="1:25" ht="12" customHeight="1" thickBot="1" x14ac:dyDescent="0.4">
      <c r="A12" s="81" t="s">
        <v>13</v>
      </c>
      <c r="B12" s="79" t="s">
        <v>198</v>
      </c>
      <c r="C12" t="str">
        <f t="shared" si="0"/>
        <v>Bangalore</v>
      </c>
      <c r="E12" t="str">
        <f t="shared" si="1"/>
        <v>Bangalore</v>
      </c>
      <c r="G12" s="7" t="s">
        <v>12</v>
      </c>
      <c r="H12" s="36" t="s">
        <v>197</v>
      </c>
      <c r="L12" t="str">
        <f>E30</f>
        <v>27AAACA4074D1Z2</v>
      </c>
      <c r="M12" t="str">
        <f>RIGHT(L12,10)</f>
        <v>CA4074D1Z2</v>
      </c>
    </row>
    <row r="13" spans="1:25" ht="12" customHeight="1" thickBot="1" x14ac:dyDescent="0.4">
      <c r="A13" s="81" t="s">
        <v>14</v>
      </c>
      <c r="B13" s="79" t="s">
        <v>59</v>
      </c>
      <c r="C13" t="str">
        <f>LEFT(B13,2)</f>
        <v>IN</v>
      </c>
      <c r="E13" t="str">
        <f t="shared" si="1"/>
        <v>IN</v>
      </c>
      <c r="G13" s="7" t="s">
        <v>13</v>
      </c>
      <c r="H13" s="37" t="s">
        <v>198</v>
      </c>
      <c r="M13" t="str">
        <f>LEFT(M12,3)</f>
        <v>CA4</v>
      </c>
      <c r="N13" t="str">
        <f>MID(M12,4,3)</f>
        <v>074</v>
      </c>
      <c r="O13" t="str">
        <f>MID(M12,7,2)</f>
        <v>D1</v>
      </c>
      <c r="P13" t="str">
        <f>RIGHT(M12,2)</f>
        <v>Z2</v>
      </c>
    </row>
    <row r="14" spans="1:25" ht="12" customHeight="1" thickBot="1" x14ac:dyDescent="0.4">
      <c r="A14" s="82" t="s">
        <v>15</v>
      </c>
      <c r="B14" s="79" t="s">
        <v>170</v>
      </c>
      <c r="C14" t="str">
        <f>IF(B14="", VLOOKUP("Region",G:H,2,0),B14)</f>
        <v>27</v>
      </c>
      <c r="D14" s="26" t="e">
        <f>MID(C14,5,VLOOKUP(I1,I6:J8,2,0))</f>
        <v>#VALUE!</v>
      </c>
      <c r="E14" t="e">
        <f>IF(AND(C13="IN",OR(D14="1",D14="2",D14="3",D14="4",D14="5",D14="6",D14="7",D14="8",D14="9")),"0"&amp;D14,D14)</f>
        <v>#VALUE!</v>
      </c>
      <c r="G14" s="7" t="s">
        <v>14</v>
      </c>
      <c r="H14" s="37" t="s">
        <v>142</v>
      </c>
      <c r="M14" t="str">
        <f>M13&amp;"-"&amp;N13&amp;"-"&amp;O13&amp;"-"&amp;P13</f>
        <v>CA4-074-D1-Z2</v>
      </c>
    </row>
    <row r="15" spans="1:25" ht="12" customHeight="1" thickBot="1" x14ac:dyDescent="0.4">
      <c r="A15" s="81" t="s">
        <v>18</v>
      </c>
      <c r="B15" s="79">
        <v>11</v>
      </c>
      <c r="C15">
        <f>B15</f>
        <v>11</v>
      </c>
      <c r="E15">
        <f t="shared" si="1"/>
        <v>11</v>
      </c>
      <c r="G15" s="7" t="s">
        <v>15</v>
      </c>
      <c r="H15" s="37" t="s">
        <v>143</v>
      </c>
    </row>
    <row r="16" spans="1:25" ht="12" customHeight="1" thickBot="1" x14ac:dyDescent="0.35">
      <c r="A16" s="81" t="s">
        <v>19</v>
      </c>
      <c r="B16" s="79" t="s">
        <v>144</v>
      </c>
      <c r="C16" t="str">
        <f>B16</f>
        <v>576 43</v>
      </c>
      <c r="E16" t="str">
        <f t="shared" si="1"/>
        <v>576 43</v>
      </c>
      <c r="G16" s="7" t="s">
        <v>16</v>
      </c>
      <c r="H16" s="37" t="s">
        <v>17</v>
      </c>
    </row>
    <row r="17" spans="1:8" ht="12" customHeight="1" thickBot="1" x14ac:dyDescent="0.4">
      <c r="A17" s="81" t="s">
        <v>20</v>
      </c>
      <c r="B17" s="79" t="s">
        <v>145</v>
      </c>
      <c r="C17" t="str">
        <f>B17</f>
        <v>Stockholm</v>
      </c>
      <c r="E17" t="str">
        <f t="shared" si="1"/>
        <v>Stockholm</v>
      </c>
      <c r="G17" s="7" t="s">
        <v>18</v>
      </c>
      <c r="H17" s="36">
        <v>11</v>
      </c>
    </row>
    <row r="18" spans="1:8" ht="12" customHeight="1" thickBot="1" x14ac:dyDescent="0.4">
      <c r="A18" s="81" t="s">
        <v>21</v>
      </c>
      <c r="B18" s="79" t="s">
        <v>94</v>
      </c>
      <c r="C18" t="str">
        <f>LEFT(B18,2)</f>
        <v>SE</v>
      </c>
      <c r="E18" t="str">
        <f>IF(C18="0","",C18)</f>
        <v>SE</v>
      </c>
      <c r="G18" s="7" t="s">
        <v>19</v>
      </c>
      <c r="H18" s="38" t="s">
        <v>144</v>
      </c>
    </row>
    <row r="19" spans="1:8" ht="12" customHeight="1" thickBot="1" x14ac:dyDescent="0.4">
      <c r="A19" s="82" t="s">
        <v>22</v>
      </c>
      <c r="B19" s="79" t="s">
        <v>135</v>
      </c>
      <c r="C19" t="str">
        <f>IFERROR(IF(B19="", VLOOKUP("Region",G:H,2,0),B19),"")</f>
        <v>019</v>
      </c>
      <c r="D19" s="26" t="str">
        <f>IFERROR(MID(C19,5,VLOOKUP(I2,I6:J8,2,0)),"")</f>
        <v/>
      </c>
      <c r="E19" t="str">
        <f>D19</f>
        <v/>
      </c>
      <c r="F19" s="101" t="s">
        <v>202</v>
      </c>
      <c r="G19" s="7" t="s">
        <v>20</v>
      </c>
      <c r="H19" s="39" t="s">
        <v>145</v>
      </c>
    </row>
    <row r="20" spans="1:8" ht="12" customHeight="1" thickTop="1" thickBot="1" x14ac:dyDescent="0.4">
      <c r="A20" s="81" t="s">
        <v>23</v>
      </c>
      <c r="B20" s="79" t="s">
        <v>171</v>
      </c>
      <c r="C20" t="str">
        <f>LEFT(B20,2)</f>
        <v>EN</v>
      </c>
      <c r="E20" t="str">
        <f t="shared" si="1"/>
        <v>EN</v>
      </c>
      <c r="F20" s="102">
        <v>2000000934</v>
      </c>
      <c r="G20" s="88" t="s">
        <v>21</v>
      </c>
      <c r="H20" s="39" t="s">
        <v>133</v>
      </c>
    </row>
    <row r="21" spans="1:8" ht="12" customHeight="1" thickTop="1" thickBot="1" x14ac:dyDescent="0.35">
      <c r="A21" s="81" t="s">
        <v>24</v>
      </c>
      <c r="B21" s="79" t="s">
        <v>148</v>
      </c>
      <c r="C21" t="str">
        <f t="shared" ref="C21:C31" si="2">B21</f>
        <v>08767865</v>
      </c>
      <c r="E21" t="str">
        <f t="shared" si="1"/>
        <v>08767865</v>
      </c>
      <c r="G21" s="7" t="s">
        <v>22</v>
      </c>
      <c r="H21" s="39" t="s">
        <v>146</v>
      </c>
    </row>
    <row r="22" spans="1:8" ht="12" customHeight="1" thickBot="1" x14ac:dyDescent="0.35">
      <c r="A22" s="81" t="s">
        <v>25</v>
      </c>
      <c r="B22" s="79" t="s">
        <v>149</v>
      </c>
      <c r="C22" t="str">
        <f t="shared" si="2"/>
        <v>40</v>
      </c>
      <c r="E22" t="str">
        <f t="shared" si="1"/>
        <v>40</v>
      </c>
      <c r="G22" s="10" t="s">
        <v>23</v>
      </c>
      <c r="H22" s="40" t="s">
        <v>147</v>
      </c>
    </row>
    <row r="23" spans="1:8" ht="12" customHeight="1" thickBot="1" x14ac:dyDescent="0.35">
      <c r="A23" s="83" t="s">
        <v>91</v>
      </c>
      <c r="B23" s="79" t="s">
        <v>150</v>
      </c>
      <c r="C23" t="str">
        <f t="shared" si="2"/>
        <v>08765465</v>
      </c>
      <c r="E23" t="str">
        <f t="shared" si="1"/>
        <v>08765465</v>
      </c>
      <c r="G23" s="5" t="s">
        <v>24</v>
      </c>
      <c r="H23" s="40" t="s">
        <v>148</v>
      </c>
    </row>
    <row r="24" spans="1:8" ht="12" customHeight="1" thickBot="1" x14ac:dyDescent="0.4">
      <c r="A24" s="81" t="s">
        <v>26</v>
      </c>
      <c r="B24" s="79" t="s">
        <v>151</v>
      </c>
      <c r="C24" t="str">
        <f t="shared" si="2"/>
        <v>21</v>
      </c>
      <c r="E24" t="str">
        <f t="shared" si="1"/>
        <v>21</v>
      </c>
      <c r="G24" s="7" t="s">
        <v>25</v>
      </c>
      <c r="H24" s="41" t="s">
        <v>149</v>
      </c>
    </row>
    <row r="25" spans="1:8" ht="12" customHeight="1" thickBot="1" x14ac:dyDescent="0.4">
      <c r="A25" s="81" t="s">
        <v>27</v>
      </c>
      <c r="B25" s="79" t="s">
        <v>152</v>
      </c>
      <c r="C25" t="str">
        <f t="shared" si="2"/>
        <v>example@interia.pl</v>
      </c>
      <c r="E25" t="str">
        <f t="shared" si="1"/>
        <v>example@interia.pl</v>
      </c>
      <c r="G25" s="7" t="s">
        <v>91</v>
      </c>
      <c r="H25" s="41" t="s">
        <v>150</v>
      </c>
    </row>
    <row r="26" spans="1:8" ht="12" customHeight="1" thickBot="1" x14ac:dyDescent="0.4">
      <c r="A26" s="81" t="s">
        <v>28</v>
      </c>
      <c r="B26" s="79" t="s">
        <v>153</v>
      </c>
      <c r="C26" t="str">
        <f>B26</f>
        <v>ZR</v>
      </c>
      <c r="E26" t="str">
        <f t="shared" si="1"/>
        <v>ZR</v>
      </c>
      <c r="G26" s="7" t="s">
        <v>26</v>
      </c>
      <c r="H26" s="41" t="s">
        <v>151</v>
      </c>
    </row>
    <row r="27" spans="1:8" ht="12" customHeight="1" thickBot="1" x14ac:dyDescent="0.35">
      <c r="A27" s="81" t="s">
        <v>29</v>
      </c>
      <c r="B27" s="79" t="s">
        <v>154</v>
      </c>
      <c r="C27" t="str">
        <f>B27</f>
        <v>BUP001</v>
      </c>
      <c r="E27" t="str">
        <f t="shared" si="1"/>
        <v>BUP001</v>
      </c>
      <c r="G27" s="7" t="s">
        <v>27</v>
      </c>
      <c r="H27" s="41" t="s">
        <v>152</v>
      </c>
    </row>
    <row r="28" spans="1:8" ht="12" customHeight="1" thickBot="1" x14ac:dyDescent="0.4">
      <c r="A28" s="81" t="s">
        <v>30</v>
      </c>
      <c r="B28" s="79">
        <v>65236433</v>
      </c>
      <c r="C28">
        <f>B28</f>
        <v>65236433</v>
      </c>
      <c r="E28">
        <f t="shared" si="1"/>
        <v>65236433</v>
      </c>
      <c r="G28" s="10" t="s">
        <v>28</v>
      </c>
      <c r="H28" s="42" t="s">
        <v>153</v>
      </c>
    </row>
    <row r="29" spans="1:8" ht="12" customHeight="1" thickBot="1" x14ac:dyDescent="0.4">
      <c r="A29" s="82" t="s">
        <v>81</v>
      </c>
      <c r="B29" s="79" t="s">
        <v>99</v>
      </c>
      <c r="C29" t="str">
        <f t="shared" si="2"/>
        <v>IN3</v>
      </c>
      <c r="E29" t="str">
        <f>IFERROR(VLOOKUP($C$13,$L$2:$M$6,2,0),"")</f>
        <v>IN3</v>
      </c>
      <c r="G29" s="9" t="s">
        <v>29</v>
      </c>
      <c r="H29" s="43" t="s">
        <v>154</v>
      </c>
    </row>
    <row r="30" spans="1:8" ht="12" customHeight="1" thickBot="1" x14ac:dyDescent="0.4">
      <c r="A30" s="82" t="s">
        <v>78</v>
      </c>
      <c r="B30" s="79" t="s">
        <v>156</v>
      </c>
      <c r="C30" t="str">
        <f>IF(OR(B30="",B30="0"),VLOOKUP("Tax Number (GSTN Number)",G:H,2,0),B30)</f>
        <v>27AAACA4074D1Z2</v>
      </c>
      <c r="D30">
        <f>VLOOKUP("Tax Numbers",G:H,2,0)</f>
        <v>0</v>
      </c>
      <c r="E30" t="str">
        <f>IFERROR(C30,D30)</f>
        <v>27AAACA4074D1Z2</v>
      </c>
      <c r="G30" s="11" t="s">
        <v>30</v>
      </c>
      <c r="H30" s="44">
        <v>65236433</v>
      </c>
    </row>
    <row r="31" spans="1:8" ht="12" customHeight="1" thickBot="1" x14ac:dyDescent="0.4">
      <c r="A31" s="82" t="s">
        <v>82</v>
      </c>
      <c r="B31" s="79">
        <v>0</v>
      </c>
      <c r="C31">
        <f t="shared" si="2"/>
        <v>0</v>
      </c>
      <c r="E31">
        <f>IFERROR(VLOOKUP($C$13,$N$2:$O$6,2,0),"")</f>
        <v>0</v>
      </c>
      <c r="G31" s="12" t="s">
        <v>155</v>
      </c>
      <c r="H31" s="45" t="s">
        <v>156</v>
      </c>
    </row>
    <row r="32" spans="1:8" ht="12" customHeight="1" thickBot="1" x14ac:dyDescent="0.35">
      <c r="A32" s="84" t="s">
        <v>31</v>
      </c>
      <c r="B32" s="79" t="s">
        <v>85</v>
      </c>
      <c r="C32" t="str">
        <f>IF(C13="PL",M14,"")</f>
        <v/>
      </c>
      <c r="E32" t="str">
        <f>IFERROR(C32,"")</f>
        <v/>
      </c>
      <c r="G32" s="13" t="s">
        <v>32</v>
      </c>
      <c r="H32" s="46"/>
    </row>
    <row r="33" spans="1:8" ht="12" customHeight="1" thickTop="1" thickBot="1" x14ac:dyDescent="0.35">
      <c r="A33" s="93" t="s">
        <v>36</v>
      </c>
      <c r="B33" s="79" t="s">
        <v>211</v>
      </c>
      <c r="C33" t="str">
        <f>LEFT(B33,4)</f>
        <v>IXXX</v>
      </c>
      <c r="E33" t="str">
        <f t="shared" si="1"/>
        <v>IXXX</v>
      </c>
      <c r="G33" s="7" t="s">
        <v>157</v>
      </c>
      <c r="H33" s="47" t="s">
        <v>189</v>
      </c>
    </row>
    <row r="34" spans="1:8" ht="12" customHeight="1" thickBot="1" x14ac:dyDescent="0.4">
      <c r="A34" s="82" t="s">
        <v>37</v>
      </c>
      <c r="B34" s="79" t="s">
        <v>205</v>
      </c>
      <c r="C34" t="str">
        <f>LEFT(B34,8)</f>
        <v>63010000</v>
      </c>
      <c r="E34" t="str">
        <f t="shared" si="1"/>
        <v>63010000</v>
      </c>
      <c r="G34" s="12" t="s">
        <v>14</v>
      </c>
      <c r="H34" s="48"/>
    </row>
    <row r="35" spans="1:8" ht="12" customHeight="1" thickBot="1" x14ac:dyDescent="0.35">
      <c r="A35" s="100" t="s">
        <v>79</v>
      </c>
      <c r="B35" s="79" t="s">
        <v>85</v>
      </c>
      <c r="C35" t="str">
        <f>LEFT(B35,1)</f>
        <v/>
      </c>
      <c r="E35" t="str">
        <f>IF(OR(C35=0,C35="0"),"",C35)</f>
        <v/>
      </c>
      <c r="G35" s="5" t="s">
        <v>33</v>
      </c>
      <c r="H35" s="30"/>
    </row>
    <row r="36" spans="1:8" ht="12" customHeight="1" thickBot="1" x14ac:dyDescent="0.4">
      <c r="A36" s="82" t="s">
        <v>38</v>
      </c>
      <c r="B36" s="79" t="s">
        <v>200</v>
      </c>
      <c r="C36" t="str">
        <f t="shared" ref="C36:C41" si="3">B36</f>
        <v>CCC2</v>
      </c>
      <c r="E36" t="str">
        <f t="shared" si="1"/>
        <v>CCC2</v>
      </c>
      <c r="G36" s="7" t="s">
        <v>34</v>
      </c>
      <c r="H36" s="38"/>
    </row>
    <row r="37" spans="1:8" ht="12" customHeight="1" thickBot="1" x14ac:dyDescent="0.4">
      <c r="A37" s="82" t="s">
        <v>39</v>
      </c>
      <c r="B37" s="79" t="s">
        <v>110</v>
      </c>
      <c r="C37" t="str">
        <f t="shared" si="3"/>
        <v>01</v>
      </c>
      <c r="E37" t="str">
        <f t="shared" si="1"/>
        <v>01</v>
      </c>
      <c r="G37" s="7" t="s">
        <v>158</v>
      </c>
      <c r="H37" s="38"/>
    </row>
    <row r="38" spans="1:8" ht="12" customHeight="1" thickBot="1" x14ac:dyDescent="0.35">
      <c r="A38" s="82" t="s">
        <v>40</v>
      </c>
      <c r="B38" s="79" t="s">
        <v>102</v>
      </c>
      <c r="C38" t="str">
        <f t="shared" si="3"/>
        <v>03</v>
      </c>
      <c r="E38" t="str">
        <f t="shared" si="1"/>
        <v>03</v>
      </c>
      <c r="G38" s="12" t="s">
        <v>35</v>
      </c>
      <c r="H38" s="45"/>
    </row>
    <row r="39" spans="1:8" ht="12" customHeight="1" thickBot="1" x14ac:dyDescent="0.35">
      <c r="A39" s="82" t="s">
        <v>41</v>
      </c>
      <c r="B39" s="79">
        <v>1</v>
      </c>
      <c r="C39">
        <f t="shared" si="3"/>
        <v>1</v>
      </c>
      <c r="E39">
        <f t="shared" si="1"/>
        <v>1</v>
      </c>
      <c r="G39" s="9" t="s">
        <v>36</v>
      </c>
      <c r="H39" s="49" t="s">
        <v>210</v>
      </c>
    </row>
    <row r="40" spans="1:8" ht="12" customHeight="1" thickBot="1" x14ac:dyDescent="0.35">
      <c r="A40" s="82" t="s">
        <v>42</v>
      </c>
      <c r="B40" s="79">
        <v>2</v>
      </c>
      <c r="C40">
        <f t="shared" si="3"/>
        <v>2</v>
      </c>
      <c r="E40">
        <f t="shared" si="1"/>
        <v>2</v>
      </c>
      <c r="G40" s="9" t="s">
        <v>37</v>
      </c>
      <c r="H40" s="49" t="s">
        <v>204</v>
      </c>
    </row>
    <row r="41" spans="1:8" ht="12" customHeight="1" thickBot="1" x14ac:dyDescent="0.35">
      <c r="A41" s="84" t="s">
        <v>43</v>
      </c>
      <c r="B41" s="79">
        <v>15000</v>
      </c>
      <c r="C41">
        <f t="shared" si="3"/>
        <v>15000</v>
      </c>
      <c r="E41">
        <f t="shared" si="1"/>
        <v>15000</v>
      </c>
      <c r="G41" s="14" t="s">
        <v>159</v>
      </c>
      <c r="H41" s="35"/>
    </row>
    <row r="42" spans="1:8" ht="12" customHeight="1" thickTop="1" thickBot="1" x14ac:dyDescent="0.35">
      <c r="A42" s="93" t="s">
        <v>46</v>
      </c>
      <c r="B42" s="79" t="s">
        <v>206</v>
      </c>
      <c r="C42" t="str">
        <f>IFERROR(LEFT(B42,$J$1-2),"")</f>
        <v/>
      </c>
      <c r="E42" t="str">
        <f t="shared" si="1"/>
        <v/>
      </c>
      <c r="G42" s="15" t="s">
        <v>160</v>
      </c>
      <c r="H42" s="50" t="s">
        <v>199</v>
      </c>
    </row>
    <row r="43" spans="1:8" ht="12" customHeight="1" thickBot="1" x14ac:dyDescent="0.35">
      <c r="A43" s="82" t="s">
        <v>47</v>
      </c>
      <c r="B43" s="79" t="s">
        <v>211</v>
      </c>
      <c r="C43" t="str">
        <f>LEFT(B43,4)</f>
        <v>IXXX</v>
      </c>
      <c r="E43" t="str">
        <f t="shared" si="1"/>
        <v>IXXX</v>
      </c>
      <c r="G43" s="27" t="s">
        <v>38</v>
      </c>
      <c r="H43" s="50" t="s">
        <v>200</v>
      </c>
    </row>
    <row r="44" spans="1:8" ht="12" customHeight="1" thickBot="1" x14ac:dyDescent="0.35">
      <c r="A44" s="82" t="s">
        <v>48</v>
      </c>
      <c r="B44" s="79" t="s">
        <v>207</v>
      </c>
      <c r="C44" t="str">
        <f>LEFT(B44,2)</f>
        <v>DD</v>
      </c>
      <c r="E44" t="str">
        <f t="shared" si="1"/>
        <v>DD</v>
      </c>
      <c r="G44" s="16" t="s">
        <v>39</v>
      </c>
      <c r="H44" s="51" t="s">
        <v>110</v>
      </c>
    </row>
    <row r="45" spans="1:8" ht="12" customHeight="1" thickBot="1" x14ac:dyDescent="0.35">
      <c r="A45" s="82" t="s">
        <v>51</v>
      </c>
      <c r="B45" s="79" t="s">
        <v>185</v>
      </c>
      <c r="C45" t="str">
        <f>IF(B45="", VLOOKUP("Sales District",G:H,2,0),B45)</f>
        <v xml:space="preserve">XXXD </v>
      </c>
      <c r="D45" s="26" t="str">
        <f>LEFT(C45,5)</f>
        <v xml:space="preserve">XXXD </v>
      </c>
      <c r="E45" t="str">
        <f>IF(D45="0","",D45)</f>
        <v xml:space="preserve">XXXD </v>
      </c>
      <c r="G45" s="17" t="s">
        <v>40</v>
      </c>
      <c r="H45" s="99" t="s">
        <v>102</v>
      </c>
    </row>
    <row r="46" spans="1:8" ht="12" customHeight="1" thickBot="1" x14ac:dyDescent="0.35">
      <c r="A46" s="82" t="s">
        <v>52</v>
      </c>
      <c r="B46" s="79" t="s">
        <v>208</v>
      </c>
      <c r="C46" t="str">
        <f>LEFT(B46,2)</f>
        <v>AS</v>
      </c>
      <c r="E46" t="str">
        <f>IF(OR(C46=0,C46="0"),"",C46)</f>
        <v>AS</v>
      </c>
      <c r="G46" s="16" t="s">
        <v>41</v>
      </c>
      <c r="H46" s="53">
        <v>1</v>
      </c>
    </row>
    <row r="47" spans="1:8" ht="12" customHeight="1" thickBot="1" x14ac:dyDescent="0.35">
      <c r="A47" s="82" t="s">
        <v>53</v>
      </c>
      <c r="B47" s="79" t="s">
        <v>172</v>
      </c>
      <c r="C47" t="str">
        <f>LEFT(B47,4)</f>
        <v>3011</v>
      </c>
      <c r="E47" t="str">
        <f>IF(C47="0","",C47)</f>
        <v>3011</v>
      </c>
      <c r="G47" s="17" t="s">
        <v>42</v>
      </c>
      <c r="H47" s="54">
        <v>2</v>
      </c>
    </row>
    <row r="48" spans="1:8" ht="12" customHeight="1" thickBot="1" x14ac:dyDescent="0.35">
      <c r="A48" s="82" t="s">
        <v>54</v>
      </c>
      <c r="B48" s="79" t="s">
        <v>173</v>
      </c>
      <c r="C48" t="str">
        <f>IF((LEN(B48)-LEN(SUBSTITUTE(B48,"-","")))=2,MID(B48,8,3),LEFT(B48,3))</f>
        <v>IN2</v>
      </c>
      <c r="E48" t="str">
        <f>IF(C48="0","",C48)</f>
        <v>IN2</v>
      </c>
      <c r="G48" s="16" t="s">
        <v>43</v>
      </c>
      <c r="H48" s="55">
        <v>15000</v>
      </c>
    </row>
    <row r="49" spans="1:8" ht="12" customHeight="1" thickBot="1" x14ac:dyDescent="0.35">
      <c r="A49" s="82" t="s">
        <v>55</v>
      </c>
      <c r="B49" s="79" t="s">
        <v>174</v>
      </c>
      <c r="C49" t="str">
        <f>LEFT(B49,3)</f>
        <v>INR</v>
      </c>
      <c r="E49" t="str">
        <f t="shared" si="1"/>
        <v>INR</v>
      </c>
      <c r="G49" s="17" t="s">
        <v>161</v>
      </c>
      <c r="H49" s="52" t="s">
        <v>162</v>
      </c>
    </row>
    <row r="50" spans="1:8" ht="12" customHeight="1" thickBot="1" x14ac:dyDescent="0.35">
      <c r="A50" s="82" t="s">
        <v>56</v>
      </c>
      <c r="B50" s="79" t="s">
        <v>102</v>
      </c>
      <c r="C50" t="str">
        <f>LEFT(B50,2)</f>
        <v>03</v>
      </c>
      <c r="E50" t="str">
        <f>IF(OR(C50=0,C50="0"),"",C50)</f>
        <v>03</v>
      </c>
      <c r="G50" s="18"/>
      <c r="H50" s="56" t="s">
        <v>44</v>
      </c>
    </row>
    <row r="51" spans="1:8" ht="12" customHeight="1" thickBot="1" x14ac:dyDescent="0.35">
      <c r="A51" s="82" t="s">
        <v>57</v>
      </c>
      <c r="B51" s="79">
        <v>1</v>
      </c>
      <c r="C51">
        <f>B51</f>
        <v>1</v>
      </c>
      <c r="E51">
        <f t="shared" si="1"/>
        <v>1</v>
      </c>
      <c r="G51" s="20" t="s">
        <v>45</v>
      </c>
      <c r="H51" s="57">
        <v>0</v>
      </c>
    </row>
    <row r="52" spans="1:8" ht="12" customHeight="1" thickBot="1" x14ac:dyDescent="0.35">
      <c r="A52" s="82" t="s">
        <v>58</v>
      </c>
      <c r="B52" s="79" t="s">
        <v>59</v>
      </c>
      <c r="C52" t="str">
        <f>LEFT(B52,2)</f>
        <v>IN</v>
      </c>
      <c r="E52" t="str">
        <f t="shared" si="1"/>
        <v>IN</v>
      </c>
      <c r="G52" s="9" t="s">
        <v>46</v>
      </c>
      <c r="H52" s="43" t="s">
        <v>201</v>
      </c>
    </row>
    <row r="53" spans="1:8" ht="12" customHeight="1" thickBot="1" x14ac:dyDescent="0.35">
      <c r="A53" s="82" t="s">
        <v>60</v>
      </c>
      <c r="B53" s="79" t="s">
        <v>86</v>
      </c>
      <c r="C53" t="str">
        <f>LEFT(B53,1)</f>
        <v>1</v>
      </c>
      <c r="E53" t="str">
        <f>IF(OR(C53=0,C53="0"),"",C53)</f>
        <v>1</v>
      </c>
      <c r="G53" s="10" t="s">
        <v>47</v>
      </c>
      <c r="H53" s="58" t="s">
        <v>210</v>
      </c>
    </row>
    <row r="54" spans="1:8" ht="12" customHeight="1" thickBot="1" x14ac:dyDescent="0.35">
      <c r="A54" s="82" t="s">
        <v>61</v>
      </c>
      <c r="B54" s="79" t="s">
        <v>87</v>
      </c>
      <c r="C54" t="str">
        <f>LEFT(B54,2)</f>
        <v>02</v>
      </c>
      <c r="E54" t="str">
        <f t="shared" si="1"/>
        <v>02</v>
      </c>
      <c r="G54" s="14" t="s">
        <v>48</v>
      </c>
      <c r="H54" s="35" t="s">
        <v>190</v>
      </c>
    </row>
    <row r="55" spans="1:8" ht="12" customHeight="1" thickBot="1" x14ac:dyDescent="0.35">
      <c r="A55" s="82" t="s">
        <v>63</v>
      </c>
      <c r="B55" s="79" t="s">
        <v>186</v>
      </c>
      <c r="C55" t="str">
        <f>LEFT(B55,4)</f>
        <v>XXXP</v>
      </c>
      <c r="E55" t="str">
        <f>IF(C55="0","",C55)</f>
        <v>XXXP</v>
      </c>
      <c r="G55" s="19" t="s">
        <v>49</v>
      </c>
      <c r="H55" s="37" t="s">
        <v>50</v>
      </c>
    </row>
    <row r="56" spans="1:8" ht="12" customHeight="1" thickBot="1" x14ac:dyDescent="0.35">
      <c r="A56" s="82" t="s">
        <v>64</v>
      </c>
      <c r="B56" s="79" t="s">
        <v>175</v>
      </c>
      <c r="C56" t="str">
        <f>LEFT(B56,2)</f>
        <v>Z2</v>
      </c>
      <c r="E56" t="str">
        <f t="shared" si="1"/>
        <v>Z2</v>
      </c>
      <c r="G56" s="14" t="s">
        <v>51</v>
      </c>
      <c r="H56" s="59" t="s">
        <v>181</v>
      </c>
    </row>
    <row r="57" spans="1:8" ht="12" customHeight="1" thickBot="1" x14ac:dyDescent="0.35">
      <c r="A57" s="82" t="s">
        <v>65</v>
      </c>
      <c r="B57" s="79">
        <v>4</v>
      </c>
      <c r="C57">
        <f>B57</f>
        <v>4</v>
      </c>
      <c r="E57">
        <f t="shared" si="1"/>
        <v>4</v>
      </c>
      <c r="G57" s="20" t="s">
        <v>52</v>
      </c>
      <c r="H57" s="60" t="s">
        <v>191</v>
      </c>
    </row>
    <row r="58" spans="1:8" ht="12" customHeight="1" thickBot="1" x14ac:dyDescent="0.35">
      <c r="A58" s="81" t="s">
        <v>66</v>
      </c>
      <c r="B58" s="79" t="s">
        <v>136</v>
      </c>
      <c r="C58" t="str">
        <f>LEFT(B58,3)</f>
        <v>DAP</v>
      </c>
      <c r="E58" t="str">
        <f t="shared" si="1"/>
        <v>DAP</v>
      </c>
      <c r="G58" s="19" t="s">
        <v>53</v>
      </c>
      <c r="H58" s="38" t="s">
        <v>192</v>
      </c>
    </row>
    <row r="59" spans="1:8" ht="12" customHeight="1" thickBot="1" x14ac:dyDescent="0.35">
      <c r="A59" s="81" t="s">
        <v>67</v>
      </c>
      <c r="B59" s="79" t="s">
        <v>145</v>
      </c>
      <c r="C59" t="str">
        <f>B59</f>
        <v>Stockholm</v>
      </c>
      <c r="E59" t="str">
        <f t="shared" si="1"/>
        <v>Stockholm</v>
      </c>
      <c r="G59" s="19" t="s">
        <v>54</v>
      </c>
      <c r="H59" s="61" t="s">
        <v>193</v>
      </c>
    </row>
    <row r="60" spans="1:8" ht="12" customHeight="1" thickBot="1" x14ac:dyDescent="0.35">
      <c r="A60" s="81" t="s">
        <v>92</v>
      </c>
      <c r="B60" s="79" t="s">
        <v>209</v>
      </c>
      <c r="C60" t="str">
        <f>LEFT(B60,4)</f>
        <v>Z007</v>
      </c>
      <c r="E60" t="str">
        <f t="shared" si="1"/>
        <v>Z007</v>
      </c>
      <c r="G60" s="19" t="s">
        <v>55</v>
      </c>
      <c r="H60" s="61" t="s">
        <v>163</v>
      </c>
    </row>
    <row r="61" spans="1:8" ht="12" customHeight="1" thickBot="1" x14ac:dyDescent="0.35">
      <c r="A61" s="81" t="s">
        <v>68</v>
      </c>
      <c r="B61" s="79" t="s">
        <v>87</v>
      </c>
      <c r="C61" t="str">
        <f>LEFT(B61,2)</f>
        <v>02</v>
      </c>
      <c r="E61" t="str">
        <f t="shared" si="1"/>
        <v>02</v>
      </c>
      <c r="G61" s="21" t="s">
        <v>56</v>
      </c>
      <c r="H61" s="62" t="s">
        <v>164</v>
      </c>
    </row>
    <row r="62" spans="1:8" ht="12" customHeight="1" thickBot="1" x14ac:dyDescent="0.35">
      <c r="A62" s="82" t="s">
        <v>69</v>
      </c>
      <c r="B62" s="79" t="s">
        <v>213</v>
      </c>
      <c r="C62" t="str">
        <f>IF(C33="IXXX",MID(B62,8,1),LEFT(B62,1))</f>
        <v/>
      </c>
      <c r="E62" t="str">
        <f>C62</f>
        <v/>
      </c>
      <c r="G62" s="20" t="s">
        <v>57</v>
      </c>
      <c r="H62" s="30">
        <v>1</v>
      </c>
    </row>
    <row r="63" spans="1:8" ht="12" customHeight="1" thickBot="1" x14ac:dyDescent="0.35">
      <c r="A63" s="84" t="s">
        <v>88</v>
      </c>
      <c r="B63" s="79" t="s">
        <v>85</v>
      </c>
      <c r="C63" t="str">
        <f>B63</f>
        <v/>
      </c>
      <c r="E63" t="str">
        <f>C63</f>
        <v/>
      </c>
      <c r="G63" s="19" t="s">
        <v>58</v>
      </c>
      <c r="H63" s="63" t="s">
        <v>59</v>
      </c>
    </row>
    <row r="64" spans="1:8" ht="12" customHeight="1" thickTop="1" thickBot="1" x14ac:dyDescent="0.35">
      <c r="A64" s="93" t="s">
        <v>70</v>
      </c>
      <c r="B64" s="79" t="s">
        <v>114</v>
      </c>
      <c r="C64" t="str">
        <f>B64</f>
        <v>B2B-EXIST</v>
      </c>
      <c r="D64" t="e">
        <f>VLOOKUP(C64,$P$2:$Q$6,2,0)</f>
        <v>#N/A</v>
      </c>
      <c r="E64" t="e">
        <f>IF(C64=0,"",D64)</f>
        <v>#N/A</v>
      </c>
      <c r="G64" s="14" t="s">
        <v>60</v>
      </c>
      <c r="H64" s="64" t="s">
        <v>165</v>
      </c>
    </row>
    <row r="65" spans="1:8" ht="12" customHeight="1" thickBot="1" x14ac:dyDescent="0.35">
      <c r="A65" s="82" t="s">
        <v>71</v>
      </c>
      <c r="B65" s="79" t="s">
        <v>130</v>
      </c>
      <c r="C65" t="str">
        <f>B65</f>
        <v>C</v>
      </c>
      <c r="D65" t="e">
        <f>VLOOKUP(C65,$S$2:$T$5,2,0)</f>
        <v>#N/A</v>
      </c>
      <c r="E65" t="e">
        <f>IF(C65=0,"",D65)</f>
        <v>#N/A</v>
      </c>
      <c r="G65" s="17" t="s">
        <v>61</v>
      </c>
      <c r="H65" s="65" t="s">
        <v>62</v>
      </c>
    </row>
    <row r="66" spans="1:8" ht="12" customHeight="1" thickBot="1" x14ac:dyDescent="0.35">
      <c r="A66" s="82" t="s">
        <v>72</v>
      </c>
      <c r="B66" s="79" t="s">
        <v>102</v>
      </c>
      <c r="C66" t="str">
        <f>LEFT(B66,2)</f>
        <v>03</v>
      </c>
      <c r="D66" t="str">
        <f>IF(C66="al","03",C66)</f>
        <v>03</v>
      </c>
      <c r="E66" t="str">
        <f>IF(C66=0,"",D66)</f>
        <v>03</v>
      </c>
      <c r="G66" s="14" t="s">
        <v>63</v>
      </c>
      <c r="H66" s="64" t="s">
        <v>180</v>
      </c>
    </row>
    <row r="67" spans="1:8" ht="12" customHeight="1" thickBot="1" x14ac:dyDescent="0.35">
      <c r="A67" s="82" t="s">
        <v>73</v>
      </c>
      <c r="B67" s="79" t="s">
        <v>137</v>
      </c>
      <c r="C67" t="str">
        <f>IF(B67="", VLOOKUP("Customer Group",$G$61:$H$92,2,0),B67)</f>
        <v>2</v>
      </c>
      <c r="D67" s="26" t="str">
        <f>IF(C67=0,"",LEFT(C67,3))</f>
        <v>2</v>
      </c>
      <c r="E67" t="str">
        <f>IFERROR(RIGHT(D67,1),"")</f>
        <v>2</v>
      </c>
      <c r="G67" s="19" t="s">
        <v>64</v>
      </c>
      <c r="H67" s="38" t="s">
        <v>166</v>
      </c>
    </row>
    <row r="68" spans="1:8" ht="12" customHeight="1" thickBot="1" x14ac:dyDescent="0.35">
      <c r="A68" s="81" t="s">
        <v>75</v>
      </c>
      <c r="B68" s="79" t="s">
        <v>187</v>
      </c>
      <c r="C68" t="str">
        <f>LEFT(B68,6)</f>
        <v>Z_XXXX</v>
      </c>
      <c r="E68" t="str">
        <f t="shared" ref="E68:E69" si="4">IF(C68=0,"",C68)</f>
        <v>Z_XXXX</v>
      </c>
      <c r="G68" s="22" t="s">
        <v>65</v>
      </c>
      <c r="H68" s="66">
        <v>4</v>
      </c>
    </row>
    <row r="69" spans="1:8" ht="12" customHeight="1" thickBot="1" x14ac:dyDescent="0.35">
      <c r="A69" s="85" t="s">
        <v>74</v>
      </c>
      <c r="B69" s="79">
        <v>15000</v>
      </c>
      <c r="C69">
        <f>B69</f>
        <v>15000</v>
      </c>
      <c r="E69">
        <f t="shared" si="4"/>
        <v>15000</v>
      </c>
      <c r="G69" s="18" t="s">
        <v>66</v>
      </c>
      <c r="H69" s="67" t="s">
        <v>134</v>
      </c>
    </row>
    <row r="70" spans="1:8" ht="12" customHeight="1" thickTop="1" thickBot="1" x14ac:dyDescent="0.35">
      <c r="A70" s="86" t="s">
        <v>76</v>
      </c>
      <c r="B70" s="79" t="s">
        <v>188</v>
      </c>
      <c r="C70" t="str">
        <f>LEFT(B70,10)</f>
        <v>PROF_XXX_1</v>
      </c>
      <c r="E70" t="str">
        <f>IF(C70="0","",C70)</f>
        <v>PROF_XXX_1</v>
      </c>
      <c r="G70" s="13" t="s">
        <v>67</v>
      </c>
      <c r="H70" s="68" t="s">
        <v>145</v>
      </c>
    </row>
    <row r="71" spans="1:8" ht="12" customHeight="1" thickBot="1" x14ac:dyDescent="0.35">
      <c r="A71" s="87" t="s">
        <v>77</v>
      </c>
      <c r="B71" s="79" t="s">
        <v>137</v>
      </c>
      <c r="C71" t="str">
        <f>LEFT(B71,1)</f>
        <v>2</v>
      </c>
      <c r="E71" t="str">
        <f>IF(C71="0","",C71)</f>
        <v>2</v>
      </c>
      <c r="G71" s="7" t="s">
        <v>92</v>
      </c>
      <c r="H71" s="37" t="s">
        <v>194</v>
      </c>
    </row>
    <row r="72" spans="1:8" ht="15" thickTop="1" x14ac:dyDescent="0.3">
      <c r="A72" s="94" t="s">
        <v>80</v>
      </c>
      <c r="B72" s="79" t="s">
        <v>212</v>
      </c>
      <c r="C72" t="str">
        <f>IF(C33="IXXX",MID(C30,3,10),"")</f>
        <v>AAACA4074D</v>
      </c>
      <c r="E72" t="str">
        <f>C72</f>
        <v>AAACA4074D</v>
      </c>
      <c r="G72" s="7" t="s">
        <v>68</v>
      </c>
      <c r="H72" s="69" t="s">
        <v>167</v>
      </c>
    </row>
    <row r="73" spans="1:8" x14ac:dyDescent="0.3">
      <c r="G73" s="7" t="s">
        <v>69</v>
      </c>
      <c r="H73" s="37" t="s">
        <v>168</v>
      </c>
    </row>
    <row r="74" spans="1:8" ht="15" thickBot="1" x14ac:dyDescent="0.35">
      <c r="G74" s="8"/>
      <c r="H74" s="70"/>
    </row>
    <row r="75" spans="1:8" ht="15" thickBot="1" x14ac:dyDescent="0.35">
      <c r="G75" s="23" t="s">
        <v>70</v>
      </c>
      <c r="H75" s="72" t="s">
        <v>103</v>
      </c>
    </row>
    <row r="76" spans="1:8" x14ac:dyDescent="0.3">
      <c r="G76" s="20" t="s">
        <v>71</v>
      </c>
      <c r="H76" s="71" t="s">
        <v>125</v>
      </c>
    </row>
    <row r="77" spans="1:8" x14ac:dyDescent="0.3">
      <c r="G77" s="7" t="s">
        <v>72</v>
      </c>
      <c r="H77" s="32" t="s">
        <v>123</v>
      </c>
    </row>
    <row r="78" spans="1:8" x14ac:dyDescent="0.3">
      <c r="G78" s="7" t="s">
        <v>73</v>
      </c>
      <c r="H78" s="31" t="s">
        <v>119</v>
      </c>
    </row>
    <row r="79" spans="1:8" ht="15" thickBot="1" x14ac:dyDescent="0.35">
      <c r="G79" s="12"/>
      <c r="H79" s="72"/>
    </row>
    <row r="80" spans="1:8" x14ac:dyDescent="0.3">
      <c r="G80" t="s">
        <v>75</v>
      </c>
      <c r="H80" t="s">
        <v>179</v>
      </c>
    </row>
    <row r="81" spans="7:8" x14ac:dyDescent="0.3">
      <c r="G81" s="7" t="s">
        <v>74</v>
      </c>
      <c r="H81" s="37">
        <v>15000</v>
      </c>
    </row>
    <row r="82" spans="7:8" ht="15" thickBot="1" x14ac:dyDescent="0.35">
      <c r="G82" s="10"/>
      <c r="H82" s="62"/>
    </row>
    <row r="83" spans="7:8" ht="15" thickBot="1" x14ac:dyDescent="0.35">
      <c r="G83" t="s">
        <v>76</v>
      </c>
      <c r="H83" t="s">
        <v>178</v>
      </c>
    </row>
    <row r="84" spans="7:8" ht="15" thickBot="1" x14ac:dyDescent="0.35">
      <c r="G84" s="23"/>
      <c r="H84" s="73"/>
    </row>
    <row r="85" spans="7:8" ht="15" thickBot="1" x14ac:dyDescent="0.35">
      <c r="G85" t="s">
        <v>77</v>
      </c>
      <c r="H85" t="s">
        <v>169</v>
      </c>
    </row>
    <row r="86" spans="7:8" ht="15" thickBot="1" x14ac:dyDescent="0.35">
      <c r="G86" s="23"/>
      <c r="H86" s="72"/>
    </row>
  </sheetData>
  <conditionalFormatting sqref="H24">
    <cfRule type="expression" dxfId="17" priority="18">
      <formula>H15="CN - China"</formula>
    </cfRule>
  </conditionalFormatting>
  <conditionalFormatting sqref="H35">
    <cfRule type="expression" dxfId="16" priority="17">
      <formula>H15="CN - China"</formula>
    </cfRule>
  </conditionalFormatting>
  <conditionalFormatting sqref="H36">
    <cfRule type="expression" dxfId="15" priority="16">
      <formula>H15="CN - China"</formula>
    </cfRule>
  </conditionalFormatting>
  <conditionalFormatting sqref="H37:H38">
    <cfRule type="expression" dxfId="14" priority="15">
      <formula>H15="CN - China"</formula>
    </cfRule>
  </conditionalFormatting>
  <conditionalFormatting sqref="H84">
    <cfRule type="expression" dxfId="13" priority="13">
      <formula>H40="0311"</formula>
    </cfRule>
    <cfRule type="expression" dxfId="12" priority="14">
      <formula>H40="0300"</formula>
    </cfRule>
  </conditionalFormatting>
  <conditionalFormatting sqref="H69">
    <cfRule type="expression" dxfId="11" priority="9">
      <formula>H40="0311"</formula>
    </cfRule>
    <cfRule type="expression" dxfId="10" priority="12">
      <formula>H40="0300"</formula>
    </cfRule>
  </conditionalFormatting>
  <conditionalFormatting sqref="H65">
    <cfRule type="expression" dxfId="9" priority="10">
      <formula>H40="0311"</formula>
    </cfRule>
    <cfRule type="expression" dxfId="8" priority="11">
      <formula>H40="0300"</formula>
    </cfRule>
  </conditionalFormatting>
  <conditionalFormatting sqref="H29">
    <cfRule type="expression" dxfId="7" priority="7">
      <formula>H40="0311"</formula>
    </cfRule>
    <cfRule type="expression" dxfId="6" priority="8">
      <formula>H40="0300"</formula>
    </cfRule>
  </conditionalFormatting>
  <conditionalFormatting sqref="H46">
    <cfRule type="expression" dxfId="5" priority="5">
      <formula>H40="0311"</formula>
    </cfRule>
    <cfRule type="expression" dxfId="4" priority="6">
      <formula>H40="0300"</formula>
    </cfRule>
  </conditionalFormatting>
  <conditionalFormatting sqref="H47">
    <cfRule type="expression" dxfId="3" priority="3">
      <formula>H40="0311"</formula>
    </cfRule>
    <cfRule type="expression" dxfId="2" priority="4">
      <formula>H40="0300"</formula>
    </cfRule>
  </conditionalFormatting>
  <conditionalFormatting sqref="F2">
    <cfRule type="expression" dxfId="1" priority="1">
      <formula>F2="XXP100"</formula>
    </cfRule>
    <cfRule type="expression" dxfId="0" priority="2">
      <formula>F2="XXQ100"</formula>
    </cfRule>
  </conditionalFormatting>
  <dataValidations count="22">
    <dataValidation type="textLength" allowBlank="1" showInputMessage="1" showErrorMessage="1" prompt="numbers only, Up to 15 characters" sqref="H36">
      <formula1>0</formula1>
      <formula2>15</formula2>
    </dataValidation>
    <dataValidation type="textLength" allowBlank="1" showInputMessage="1" showErrorMessage="1" prompt="Up to 132 characters" sqref="H28">
      <formula1>0</formula1>
      <formula2>132</formula2>
    </dataValidation>
    <dataValidation type="textLength" allowBlank="1" showInputMessage="1" showErrorMessage="1" prompt="Up to 10 characters" sqref="H25 H27">
      <formula1>0</formula1>
      <formula2>10</formula2>
    </dataValidation>
    <dataValidation type="textLength" allowBlank="1" showInputMessage="1" showErrorMessage="1" prompt="Up to 20 characters" sqref="H24 H26">
      <formula1>0</formula1>
      <formula2>20</formula2>
    </dataValidation>
    <dataValidation type="textLength" allowBlank="1" showInputMessage="1" showErrorMessage="1" prompt="free text. up to 10 characters" sqref="H12">
      <formula1>0</formula1>
      <formula2>10</formula2>
    </dataValidation>
    <dataValidation type="textLength" allowBlank="1" showInputMessage="1" showErrorMessage="1" prompt="free text. up to 60 characters" sqref="H11">
      <formula1>0</formula1>
      <formula2>60</formula2>
    </dataValidation>
    <dataValidation type="textLength" allowBlank="1" showInputMessage="1" showErrorMessage="1" prompt="free text. up to 40 characters" sqref="H6:H9 H14 H20">
      <formula1>0</formula1>
      <formula2>40</formula2>
    </dataValidation>
    <dataValidation type="textLength" allowBlank="1" showInputMessage="1" showErrorMessage="1" prompt="free text. up to 40 characters, legal form" sqref="H5">
      <formula1>0</formula1>
      <formula2>40</formula2>
    </dataValidation>
    <dataValidation allowBlank="1" showInputMessage="1" showErrorMessage="1" prompt="first ten digits of name, no special characters, in capitals_x000a_" sqref="H10"/>
    <dataValidation allowBlank="1" showInputMessage="1" showErrorMessage="1" prompt="Format Country Key dependant_x000a_" sqref="H13 H19 H33"/>
    <dataValidation allowBlank="1" showInputMessage="1" showErrorMessage="1" prompt="Format Country Key dependant" sqref="H18"/>
    <dataValidation allowBlank="1" showInputMessage="1" showErrorMessage="1" prompt="Values from 0 to 9_x000a_" sqref="H69"/>
    <dataValidation allowBlank="1" showInputMessage="1" showErrorMessage="1" prompt="Full name of the incoterm/City when FOB" sqref="H71"/>
    <dataValidation allowBlank="1" showInputMessage="1" showErrorMessage="1" prompt="user input_x000a_" sqref="H82"/>
    <dataValidation allowBlank="1" showInputMessage="1" showErrorMessage="1" prompt="Empty or Company" sqref="H4"/>
    <dataValidation allowBlank="1" showInputMessage="1" showErrorMessage="1" prompt="applicable for Internal Accounts" sqref="H2"/>
    <dataValidation allowBlank="1" showInputMessage="1" showErrorMessage="1" prompt="Format Country Key dependant; For India- PAN Number_x000a_" sqref="H34"/>
    <dataValidation allowBlank="1" showInputMessage="1" showErrorMessage="1" prompt="Format Country Key dependant_x000a_; For India- GST Number" sqref="H32"/>
    <dataValidation type="textLength" allowBlank="1" showInputMessage="1" showErrorMessage="1" prompt="SWIFT/BIC for International Payments. Uniquely identifies a bank throughout the world._x000a_" sqref="H38">
      <formula1>0</formula1>
      <formula2>30</formula2>
    </dataValidation>
    <dataValidation type="textLength" allowBlank="1" showInputMessage="1" showErrorMessage="1" prompt="numbers only, Up to 18 characters" sqref="H37">
      <formula1>0</formula1>
      <formula2>30</formula2>
    </dataValidation>
    <dataValidation type="list" allowBlank="1" showInputMessage="1" showErrorMessage="1" sqref="F2">
      <formula1>$J$4:$J$5</formula1>
    </dataValidation>
    <dataValidation allowBlank="1" showInputMessage="1" showErrorMessage="1" prompt="MANDATORY" sqref="H57"/>
  </dataValidations>
  <hyperlinks>
    <hyperlink ref="H28" r:id="rId1" display="example@interia.pl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6" r:id="rId5" name="Button 12">
              <controlPr defaultSize="0" print="0" autoFill="0" autoPict="0" macro="[0]!konwertuj">
                <anchor moveWithCells="1">
                  <from>
                    <xdr:col>5</xdr:col>
                    <xdr:colOff>1120140</xdr:colOff>
                    <xdr:row>7</xdr:row>
                    <xdr:rowOff>60960</xdr:rowOff>
                  </from>
                  <to>
                    <xdr:col>5</xdr:col>
                    <xdr:colOff>1958340</xdr:colOff>
                    <xdr:row>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6" name="Button 20">
              <controlPr defaultSize="0" print="0" autoFill="0" autoPict="0" macro="[0]!Module2.StartExtract">
                <anchor moveWithCells="1" sizeWithCells="1">
                  <from>
                    <xdr:col>5</xdr:col>
                    <xdr:colOff>1127760</xdr:colOff>
                    <xdr:row>10</xdr:row>
                    <xdr:rowOff>0</xdr:rowOff>
                  </from>
                  <to>
                    <xdr:col>5</xdr:col>
                    <xdr:colOff>1950720</xdr:colOff>
                    <xdr:row>11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[1]Dropdowns!#REF!</xm:f>
          </x14:formula1>
          <xm:sqref>G50 H44 H35 H15 H23 H41 H55 H68 H70 H76 H81 H84 H72:H74 H65 H78:H79 H61:H62 H21</xm:sqref>
        </x14:dataValidation>
        <x14:dataValidation type="list" allowBlank="1" showInputMessage="1" showErrorMessage="1" prompt="ZR or ZD_x000a_">
          <x14:formula1>
            <xm:f>[1]Dropdowns!#REF!</xm:f>
          </x14:formula1>
          <xm:sqref>H29</xm:sqref>
        </x14:dataValidation>
        <x14:dataValidation type="list" allowBlank="1" showInputMessage="1" showErrorMessage="1">
          <x14:formula1>
            <xm:f>OFFSET([1]Dropdowns!#REF!,MATCH(H40,[1]Dropdowns!#REF!,0),0,COUNTIF([1]Dropdowns!#REF!,H40),1)</xm:f>
          </x14:formula1>
          <xm:sqref>H67</xm:sqref>
        </x14:dataValidation>
        <x14:dataValidation type="list" allowBlank="1" showInputMessage="1" showErrorMessage="1">
          <x14:formula1>
            <xm:f>OFFSET([1]Dropdowns!#REF!,MATCH(H40,[1]Dropdowns!#REF!,0),0,COUNTIF([1]Dropdowns!#REF!,H40),1)</xm:f>
          </x14:formula1>
          <xm:sqref>H60</xm:sqref>
        </x14:dataValidation>
        <x14:dataValidation type="list" allowBlank="1" showInputMessage="1" showErrorMessage="1" prompt="Applicable only for India">
          <x14:formula1>
            <xm:f>[1]Dropdowns!#REF!</xm:f>
          </x14:formula1>
          <xm:sqref>H86</xm:sqref>
        </x14:dataValidation>
        <x14:dataValidation type="list" allowBlank="1" showInputMessage="1" showErrorMessage="1">
          <x14:formula1>
            <xm:f>OFFSET([1]Dropdowns!#REF!,MATCH(H76,[1]Dropdowns!#REF!,0),0,COUNTIF([1]Dropdowns!#REF!,H76),1)</xm:f>
          </x14:formula1>
          <xm:sqref>H77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Arkusz1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Bartek</dc:creator>
  <cp:lastModifiedBy>Bartek</cp:lastModifiedBy>
  <dcterms:created xsi:type="dcterms:W3CDTF">2020-12-05T12:38:37Z</dcterms:created>
  <dcterms:modified xsi:type="dcterms:W3CDTF">2021-02-06T13:22:15Z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e4b3411-284d-4d31-bd4f-bc13ef7f1fd6_Enabled">
    <vt:lpwstr>True</vt:lpwstr>
  </property>
  <property fmtid="{D5CDD505-2E9C-101B-9397-08002B2CF9AE}" pid="3" name="MSIP_Label_be4b3411-284d-4d31-bd4f-bc13ef7f1fd6_SiteId">
    <vt:lpwstr>63ce7d59-2f3e-42cd-a8cc-be764cff5eb6</vt:lpwstr>
  </property>
  <property fmtid="{D5CDD505-2E9C-101B-9397-08002B2CF9AE}" pid="4" name="MSIP_Label_be4b3411-284d-4d31-bd4f-bc13ef7f1fd6_Owner">
    <vt:lpwstr>mdmhub@external.dynapac.com</vt:lpwstr>
  </property>
  <property fmtid="{D5CDD505-2E9C-101B-9397-08002B2CF9AE}" pid="5" name="MSIP_Label_be4b3411-284d-4d31-bd4f-bc13ef7f1fd6_SetDate">
    <vt:lpwstr>2020-12-07T07:31:59.4070211Z</vt:lpwstr>
  </property>
  <property fmtid="{D5CDD505-2E9C-101B-9397-08002B2CF9AE}" pid="6" name="MSIP_Label_be4b3411-284d-4d31-bd4f-bc13ef7f1fd6_Name">
    <vt:lpwstr>Internal</vt:lpwstr>
  </property>
  <property fmtid="{D5CDD505-2E9C-101B-9397-08002B2CF9AE}" pid="7" name="MSIP_Label_be4b3411-284d-4d31-bd4f-bc13ef7f1fd6_Application">
    <vt:lpwstr>Microsoft Azure Information Protection</vt:lpwstr>
  </property>
  <property fmtid="{D5CDD505-2E9C-101B-9397-08002B2CF9AE}" pid="8" name="MSIP_Label_be4b3411-284d-4d31-bd4f-bc13ef7f1fd6_ActionId">
    <vt:lpwstr>61a675e3-5309-4953-bc9f-1b7a6184b381</vt:lpwstr>
  </property>
  <property fmtid="{D5CDD505-2E9C-101B-9397-08002B2CF9AE}" pid="9" name="MSIP_Label_be4b3411-284d-4d31-bd4f-bc13ef7f1fd6_Extended_MSFT_Method">
    <vt:lpwstr>Automatic</vt:lpwstr>
  </property>
  <property fmtid="{D5CDD505-2E9C-101B-9397-08002B2CF9AE}" pid="10" name="MSIP_Label_a0819fa7-4367-4500-ba88-dd630d977609_Enabled">
    <vt:lpwstr>True</vt:lpwstr>
  </property>
  <property fmtid="{D5CDD505-2E9C-101B-9397-08002B2CF9AE}" pid="11" name="MSIP_Label_a0819fa7-4367-4500-ba88-dd630d977609_SiteId">
    <vt:lpwstr>63ce7d59-2f3e-42cd-a8cc-be764cff5eb6</vt:lpwstr>
  </property>
  <property fmtid="{D5CDD505-2E9C-101B-9397-08002B2CF9AE}" pid="12" name="MSIP_Label_a0819fa7-4367-4500-ba88-dd630d977609_Owner">
    <vt:lpwstr>mdmhub@external.dynapac.com</vt:lpwstr>
  </property>
  <property fmtid="{D5CDD505-2E9C-101B-9397-08002B2CF9AE}" pid="13" name="MSIP_Label_a0819fa7-4367-4500-ba88-dd630d977609_SetDate">
    <vt:lpwstr>2020-12-07T07:31:59.4070211Z</vt:lpwstr>
  </property>
  <property fmtid="{D5CDD505-2E9C-101B-9397-08002B2CF9AE}" pid="14" name="MSIP_Label_a0819fa7-4367-4500-ba88-dd630d977609_Name">
    <vt:lpwstr>Companywide usage</vt:lpwstr>
  </property>
  <property fmtid="{D5CDD505-2E9C-101B-9397-08002B2CF9AE}" pid="15" name="MSIP_Label_a0819fa7-4367-4500-ba88-dd630d977609_Application">
    <vt:lpwstr>Microsoft Azure Information Protection</vt:lpwstr>
  </property>
  <property fmtid="{D5CDD505-2E9C-101B-9397-08002B2CF9AE}" pid="16" name="MSIP_Label_a0819fa7-4367-4500-ba88-dd630d977609_ActionId">
    <vt:lpwstr>61a675e3-5309-4953-bc9f-1b7a6184b381</vt:lpwstr>
  </property>
  <property fmtid="{D5CDD505-2E9C-101B-9397-08002B2CF9AE}" pid="17" name="MSIP_Label_a0819fa7-4367-4500-ba88-dd630d977609_Parent">
    <vt:lpwstr>be4b3411-284d-4d31-bd4f-bc13ef7f1fd6</vt:lpwstr>
  </property>
  <property fmtid="{D5CDD505-2E9C-101B-9397-08002B2CF9AE}" pid="18" name="MSIP_Label_a0819fa7-4367-4500-ba88-dd630d977609_Extended_MSFT_Method">
    <vt:lpwstr>Automatic</vt:lpwstr>
  </property>
  <property fmtid="{D5CDD505-2E9C-101B-9397-08002B2CF9AE}" pid="19" name="Sensitivity">
    <vt:lpwstr>Internal Companywide usage</vt:lpwstr>
  </property>
</Properties>
</file>